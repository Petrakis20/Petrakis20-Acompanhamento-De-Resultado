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0"/>
  <workbookPr defaultThemeVersion="166925"/>
  <mc:AlternateContent xmlns:mc="http://schemas.openxmlformats.org/markup-compatibility/2006">
    <mc:Choice Requires="x15">
      <x15ac:absPath xmlns:x15ac="http://schemas.microsoft.com/office/spreadsheetml/2010/11/ac" url="/Users/matheuspetrakis/Documents/GitHub/Petrakis20-Acompanhamento-De-Resultado/NOVO_FORMATO/"/>
    </mc:Choice>
  </mc:AlternateContent>
  <xr:revisionPtr revIDLastSave="0" documentId="13_ncr:1_{7F7F9B5F-F84A-754C-BD16-4C8CA088C22D}" xr6:coauthVersionLast="47" xr6:coauthVersionMax="47" xr10:uidLastSave="{00000000-0000-0000-0000-000000000000}"/>
  <bookViews>
    <workbookView xWindow="30240" yWindow="-100" windowWidth="38400" windowHeight="19000" activeTab="1" xr2:uid="{00000000-000D-0000-FFFF-FFFF00000000}"/>
  </bookViews>
  <sheets>
    <sheet name="Adições e Exclusões" sheetId="21" r:id="rId1"/>
    <sheet name="Acomp. Resultados_2026" sheetId="6" r:id="rId2"/>
    <sheet name="Confrontos Federais"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1" i="6" l="1"/>
  <c r="AA59" i="6"/>
  <c r="E59" i="6"/>
  <c r="AA52" i="6"/>
  <c r="AA51" i="6"/>
  <c r="AA41" i="6"/>
  <c r="AA42" i="6"/>
  <c r="AA40" i="6"/>
  <c r="AA37" i="6"/>
  <c r="AA36" i="6"/>
  <c r="AA35" i="6"/>
  <c r="AA34" i="6"/>
  <c r="AA33" i="6"/>
  <c r="AA30" i="6"/>
  <c r="AA14" i="6"/>
  <c r="AA15" i="6"/>
  <c r="AA16" i="6"/>
  <c r="AA17" i="6"/>
  <c r="AA18" i="6"/>
  <c r="AA19" i="6"/>
  <c r="AA20" i="6"/>
  <c r="AA21" i="6"/>
  <c r="AA22" i="6"/>
  <c r="AA23" i="6"/>
  <c r="AA24" i="6"/>
  <c r="AA13" i="6"/>
  <c r="E25" i="6"/>
  <c r="C25" i="6"/>
  <c r="O10" i="21"/>
  <c r="O11" i="21"/>
  <c r="O12" i="21"/>
  <c r="O13" i="21"/>
  <c r="O14" i="21"/>
  <c r="O15" i="21"/>
  <c r="E64" i="6"/>
  <c r="G64" i="6"/>
  <c r="I64" i="6"/>
  <c r="K64" i="6"/>
  <c r="M64" i="6"/>
  <c r="O64" i="6"/>
  <c r="Q64" i="6"/>
  <c r="S64" i="6"/>
  <c r="U64" i="6"/>
  <c r="W64" i="6"/>
  <c r="Y64" i="6"/>
  <c r="E65" i="6" l="1"/>
  <c r="E66" i="6"/>
  <c r="E67" i="6"/>
  <c r="E68" i="6"/>
  <c r="E69" i="6"/>
  <c r="G65" i="6"/>
  <c r="G66" i="6"/>
  <c r="G67" i="6"/>
  <c r="G68" i="6"/>
  <c r="G69" i="6"/>
  <c r="I65" i="6"/>
  <c r="I66" i="6"/>
  <c r="I67" i="6"/>
  <c r="I68" i="6"/>
  <c r="I69" i="6"/>
  <c r="K65" i="6"/>
  <c r="K66" i="6"/>
  <c r="K67" i="6"/>
  <c r="K68" i="6"/>
  <c r="K69" i="6"/>
  <c r="M65" i="6"/>
  <c r="M66" i="6"/>
  <c r="M67" i="6"/>
  <c r="M68" i="6"/>
  <c r="M69" i="6"/>
  <c r="O65" i="6"/>
  <c r="O66" i="6"/>
  <c r="O67" i="6"/>
  <c r="O68" i="6"/>
  <c r="O69" i="6"/>
  <c r="Q65" i="6"/>
  <c r="Q66" i="6"/>
  <c r="Q67" i="6"/>
  <c r="Q68" i="6"/>
  <c r="Q69" i="6"/>
  <c r="S65" i="6"/>
  <c r="S66" i="6"/>
  <c r="S67" i="6"/>
  <c r="S68" i="6"/>
  <c r="S69" i="6"/>
  <c r="U65" i="6"/>
  <c r="U66" i="6"/>
  <c r="U67" i="6"/>
  <c r="U68" i="6"/>
  <c r="U69" i="6"/>
  <c r="W65" i="6"/>
  <c r="W66" i="6"/>
  <c r="W67" i="6"/>
  <c r="W68" i="6"/>
  <c r="W69" i="6"/>
  <c r="Y65" i="6"/>
  <c r="Y66" i="6"/>
  <c r="Y67" i="6"/>
  <c r="Y68" i="6"/>
  <c r="Y69" i="6"/>
  <c r="AA65" i="6"/>
  <c r="AA68" i="6"/>
  <c r="AA64" i="6"/>
  <c r="C65" i="6"/>
  <c r="C66" i="6"/>
  <c r="AA66" i="6"/>
  <c r="C67" i="6"/>
  <c r="AA67" i="6"/>
  <c r="C68" i="6"/>
  <c r="C69" i="6"/>
  <c r="AA69" i="6"/>
  <c r="C64" i="6"/>
  <c r="I70" i="6" l="1"/>
  <c r="Q70" i="6"/>
  <c r="U70" i="6"/>
  <c r="K70" i="6"/>
  <c r="O70" i="6"/>
  <c r="M70" i="6"/>
  <c r="G70" i="6"/>
  <c r="E70" i="6"/>
  <c r="S70" i="6"/>
  <c r="Y70" i="6"/>
  <c r="W70" i="6"/>
  <c r="E53" i="6"/>
  <c r="C53" i="6"/>
  <c r="F40" i="6"/>
  <c r="G25" i="6"/>
  <c r="H36" i="6" s="1"/>
  <c r="I25" i="6"/>
  <c r="J35" i="6" s="1"/>
  <c r="K25" i="6"/>
  <c r="L34" i="6" s="1"/>
  <c r="M25" i="6"/>
  <c r="N34" i="6" s="1"/>
  <c r="O25" i="6"/>
  <c r="P33" i="6" s="1"/>
  <c r="Q25" i="6"/>
  <c r="R42" i="6" s="1"/>
  <c r="S25" i="6"/>
  <c r="T40" i="6" s="1"/>
  <c r="U25" i="6"/>
  <c r="V37" i="6" s="1"/>
  <c r="W25" i="6"/>
  <c r="X36" i="6" s="1"/>
  <c r="Y25" i="6"/>
  <c r="Z36" i="6" s="1"/>
  <c r="D42" i="6"/>
  <c r="H27" i="6" l="1"/>
  <c r="H33" i="6"/>
  <c r="H37" i="6"/>
  <c r="X41" i="6"/>
  <c r="V35" i="6"/>
  <c r="X33" i="6"/>
  <c r="X37" i="6"/>
  <c r="X40" i="6"/>
  <c r="X42" i="6"/>
  <c r="V40" i="6"/>
  <c r="F42" i="6"/>
  <c r="D34" i="6"/>
  <c r="J41" i="6"/>
  <c r="J40" i="6"/>
  <c r="D35" i="6"/>
  <c r="R33" i="6"/>
  <c r="J37" i="6"/>
  <c r="D33" i="6"/>
  <c r="F27" i="6"/>
  <c r="V27" i="6"/>
  <c r="F33" i="6"/>
  <c r="V33" i="6"/>
  <c r="J36" i="6"/>
  <c r="F41" i="6"/>
  <c r="V34" i="6"/>
  <c r="T33" i="6"/>
  <c r="F34" i="6"/>
  <c r="H40" i="6"/>
  <c r="L36" i="6"/>
  <c r="T36" i="6"/>
  <c r="V41" i="6"/>
  <c r="Z37" i="6"/>
  <c r="T27" i="6"/>
  <c r="T34" i="6"/>
  <c r="L35" i="6"/>
  <c r="F35" i="6"/>
  <c r="H41" i="6"/>
  <c r="L37" i="6"/>
  <c r="T41" i="6"/>
  <c r="V42" i="6"/>
  <c r="Z40" i="6"/>
  <c r="T35" i="6"/>
  <c r="F36" i="6"/>
  <c r="H42" i="6"/>
  <c r="N35" i="6"/>
  <c r="T42" i="6"/>
  <c r="X27" i="6"/>
  <c r="Z41" i="6"/>
  <c r="P34" i="6"/>
  <c r="P35" i="6"/>
  <c r="R34" i="6"/>
  <c r="D36" i="6"/>
  <c r="L40" i="6"/>
  <c r="P36" i="6"/>
  <c r="D37" i="6"/>
  <c r="J42" i="6"/>
  <c r="N40" i="6"/>
  <c r="Z42" i="6"/>
  <c r="J33" i="6"/>
  <c r="L42" i="6"/>
  <c r="R37" i="6"/>
  <c r="Z33" i="6"/>
  <c r="D41" i="6"/>
  <c r="F37" i="6"/>
  <c r="H35" i="6"/>
  <c r="J34" i="6"/>
  <c r="L33" i="6"/>
  <c r="N27" i="6"/>
  <c r="N42" i="6"/>
  <c r="P41" i="6"/>
  <c r="R40" i="6"/>
  <c r="T37" i="6"/>
  <c r="V36" i="6"/>
  <c r="X35" i="6"/>
  <c r="Z34" i="6"/>
  <c r="N36" i="6"/>
  <c r="N37" i="6"/>
  <c r="R35" i="6"/>
  <c r="J27" i="6"/>
  <c r="L41" i="6"/>
  <c r="P37" i="6"/>
  <c r="R36" i="6"/>
  <c r="Z27" i="6"/>
  <c r="D40" i="6"/>
  <c r="H34" i="6"/>
  <c r="L27" i="6"/>
  <c r="N41" i="6"/>
  <c r="P40" i="6"/>
  <c r="X34" i="6"/>
  <c r="D27" i="6"/>
  <c r="N33" i="6"/>
  <c r="P27" i="6"/>
  <c r="P42" i="6"/>
  <c r="R41" i="6"/>
  <c r="Z35" i="6"/>
  <c r="R27" i="6"/>
  <c r="AA27" i="6" l="1"/>
  <c r="AA28" i="6" s="1"/>
  <c r="E38" i="6"/>
  <c r="G38" i="6"/>
  <c r="I38" i="6"/>
  <c r="K38" i="6"/>
  <c r="M38" i="6"/>
  <c r="O38" i="6"/>
  <c r="Q38" i="6"/>
  <c r="S38" i="6"/>
  <c r="U38" i="6"/>
  <c r="W38" i="6"/>
  <c r="Y38" i="6"/>
  <c r="C38" i="6"/>
  <c r="E31" i="6"/>
  <c r="G31" i="6"/>
  <c r="I31" i="6"/>
  <c r="K31" i="6"/>
  <c r="M31" i="6"/>
  <c r="O31" i="6"/>
  <c r="Q31" i="6"/>
  <c r="S31" i="6"/>
  <c r="U31" i="6"/>
  <c r="W31" i="6"/>
  <c r="Y31" i="6"/>
  <c r="AA31" i="6"/>
  <c r="C31" i="6"/>
  <c r="E28" i="6"/>
  <c r="G28" i="6"/>
  <c r="I28" i="6"/>
  <c r="K28" i="6"/>
  <c r="M28" i="6"/>
  <c r="O28" i="6"/>
  <c r="Q28" i="6"/>
  <c r="S28" i="6"/>
  <c r="U28" i="6"/>
  <c r="W28" i="6"/>
  <c r="Y28" i="6"/>
  <c r="C28" i="6"/>
  <c r="AA38" i="6" l="1"/>
  <c r="O44" i="6"/>
  <c r="U44" i="6"/>
  <c r="Q44" i="6"/>
  <c r="M44" i="6"/>
  <c r="K44" i="6"/>
  <c r="I44" i="6"/>
  <c r="Y44" i="6"/>
  <c r="E44" i="6"/>
  <c r="C44" i="6"/>
  <c r="G44" i="6"/>
  <c r="S44" i="6"/>
  <c r="W44" i="6"/>
  <c r="W53" i="6"/>
  <c r="G59" i="6" l="1"/>
  <c r="H44" i="6"/>
  <c r="U59" i="6"/>
  <c r="V44" i="6"/>
  <c r="C59" i="6"/>
  <c r="D44" i="6"/>
  <c r="O59" i="6"/>
  <c r="P44" i="6"/>
  <c r="F44" i="6"/>
  <c r="Y59" i="6"/>
  <c r="Z44" i="6"/>
  <c r="I59" i="6"/>
  <c r="J44" i="6"/>
  <c r="K59" i="6"/>
  <c r="L44" i="6"/>
  <c r="W59" i="6"/>
  <c r="X44" i="6"/>
  <c r="M59" i="6"/>
  <c r="N44" i="6"/>
  <c r="S59" i="6"/>
  <c r="T44" i="6"/>
  <c r="Q59" i="6"/>
  <c r="R44" i="6"/>
  <c r="B2" i="21"/>
  <c r="D19" i="21"/>
  <c r="E19" i="21" l="1"/>
  <c r="F19" i="21" s="1"/>
  <c r="G19" i="21" s="1"/>
  <c r="H19" i="21" s="1"/>
  <c r="I19" i="21" s="1"/>
  <c r="J19" i="21" s="1"/>
  <c r="K19" i="21" s="1"/>
  <c r="L19" i="21" s="1"/>
  <c r="M19" i="21" s="1"/>
  <c r="N19" i="21" s="1"/>
  <c r="O19" i="21"/>
  <c r="C20" i="21"/>
  <c r="F20" i="21"/>
  <c r="D20" i="21"/>
  <c r="E16" i="21"/>
  <c r="D16" i="21"/>
  <c r="C16" i="21"/>
  <c r="G20" i="21" l="1"/>
  <c r="G16" i="21"/>
  <c r="F16" i="21"/>
  <c r="E20" i="21"/>
  <c r="H20" i="21" l="1"/>
  <c r="H16" i="21"/>
  <c r="I16" i="21"/>
  <c r="C73" i="6"/>
  <c r="Y73" i="6"/>
  <c r="W73" i="6"/>
  <c r="U73" i="6"/>
  <c r="S73" i="6"/>
  <c r="Q73" i="6"/>
  <c r="O73" i="6"/>
  <c r="M73" i="6"/>
  <c r="K73" i="6"/>
  <c r="I73" i="6"/>
  <c r="G73" i="6"/>
  <c r="E73" i="6"/>
  <c r="B5" i="7"/>
  <c r="B4" i="7"/>
  <c r="AA74" i="6"/>
  <c r="I20" i="21" l="1"/>
  <c r="K16" i="21"/>
  <c r="J16" i="21"/>
  <c r="AA53" i="6"/>
  <c r="AA73" i="6"/>
  <c r="AA75" i="6" s="1"/>
  <c r="C70" i="6"/>
  <c r="E93" i="6"/>
  <c r="G93" i="6" s="1"/>
  <c r="I93" i="6" s="1"/>
  <c r="K93" i="6" s="1"/>
  <c r="M93" i="6" s="1"/>
  <c r="O93" i="6" s="1"/>
  <c r="Q93" i="6" s="1"/>
  <c r="S93" i="6" s="1"/>
  <c r="U93" i="6" s="1"/>
  <c r="W93" i="6" s="1"/>
  <c r="Y93" i="6" s="1"/>
  <c r="AA93" i="6" s="1"/>
  <c r="J20" i="21" l="1"/>
  <c r="L16" i="21"/>
  <c r="K20" i="21" l="1"/>
  <c r="L20" i="21"/>
  <c r="M16" i="21"/>
  <c r="Y33" i="7"/>
  <c r="Y32" i="7"/>
  <c r="Y31" i="7"/>
  <c r="Y30" i="7"/>
  <c r="Y29" i="7"/>
  <c r="Y28" i="7"/>
  <c r="W33" i="7"/>
  <c r="W32" i="7"/>
  <c r="W31" i="7"/>
  <c r="W30" i="7"/>
  <c r="W29" i="7"/>
  <c r="W28" i="7"/>
  <c r="U33" i="7"/>
  <c r="U32" i="7"/>
  <c r="U31" i="7"/>
  <c r="U30" i="7"/>
  <c r="U29" i="7"/>
  <c r="U28" i="7"/>
  <c r="S33" i="7"/>
  <c r="S32" i="7"/>
  <c r="S31" i="7"/>
  <c r="S30" i="7"/>
  <c r="S29" i="7"/>
  <c r="S28" i="7"/>
  <c r="Q33" i="7"/>
  <c r="Q32" i="7"/>
  <c r="Q31" i="7"/>
  <c r="Q30" i="7"/>
  <c r="Q29" i="7"/>
  <c r="Q28" i="7"/>
  <c r="O33" i="7"/>
  <c r="O32" i="7"/>
  <c r="O31" i="7"/>
  <c r="O30" i="7"/>
  <c r="O29" i="7"/>
  <c r="O28" i="7"/>
  <c r="M33" i="7"/>
  <c r="M32" i="7"/>
  <c r="M31" i="7"/>
  <c r="M30" i="7"/>
  <c r="M29" i="7"/>
  <c r="M28" i="7"/>
  <c r="K33" i="7"/>
  <c r="K32" i="7"/>
  <c r="K31" i="7"/>
  <c r="K30" i="7"/>
  <c r="K29" i="7"/>
  <c r="K28" i="7"/>
  <c r="I33" i="7"/>
  <c r="I32" i="7"/>
  <c r="I31" i="7"/>
  <c r="I30" i="7"/>
  <c r="I29" i="7"/>
  <c r="I28" i="7"/>
  <c r="G33" i="7"/>
  <c r="G32" i="7"/>
  <c r="G31" i="7"/>
  <c r="G30" i="7"/>
  <c r="G29" i="7"/>
  <c r="G28" i="7"/>
  <c r="E33" i="7"/>
  <c r="E32" i="7"/>
  <c r="E31" i="7"/>
  <c r="E30" i="7"/>
  <c r="E29" i="7"/>
  <c r="E28" i="7"/>
  <c r="C33" i="7"/>
  <c r="C32" i="7"/>
  <c r="C75" i="6"/>
  <c r="AA25" i="7"/>
  <c r="AA24" i="7"/>
  <c r="AA21" i="7"/>
  <c r="AA20" i="7"/>
  <c r="AA14" i="7"/>
  <c r="G53" i="6"/>
  <c r="AA33" i="7" l="1"/>
  <c r="AA32" i="7"/>
  <c r="M20" i="21"/>
  <c r="N16" i="21"/>
  <c r="O16" i="21"/>
  <c r="Y53" i="6"/>
  <c r="K53" i="6"/>
  <c r="O53" i="6"/>
  <c r="S53" i="6"/>
  <c r="I53" i="6"/>
  <c r="M53" i="6"/>
  <c r="Q53" i="6"/>
  <c r="U53" i="6"/>
  <c r="Y75" i="6"/>
  <c r="W75" i="6"/>
  <c r="U75" i="6"/>
  <c r="S75" i="6"/>
  <c r="Q75" i="6"/>
  <c r="O75" i="6"/>
  <c r="M75" i="6"/>
  <c r="K75" i="6"/>
  <c r="I75" i="6"/>
  <c r="G75" i="6"/>
  <c r="E75" i="6"/>
  <c r="C61" i="6"/>
  <c r="C77" i="6" s="1"/>
  <c r="C81" i="6" s="1"/>
  <c r="N20" i="21" l="1"/>
  <c r="O20" i="21"/>
  <c r="E61" i="6"/>
  <c r="E77" i="6" s="1"/>
  <c r="E81" i="6" s="1"/>
  <c r="AA25" i="6"/>
  <c r="AB27" i="6" l="1"/>
  <c r="AB41" i="6"/>
  <c r="AB35" i="6"/>
  <c r="AB36" i="6"/>
  <c r="AB42" i="6"/>
  <c r="AB40" i="6"/>
  <c r="AB33" i="6"/>
  <c r="AB37" i="6"/>
  <c r="AB34" i="6"/>
  <c r="AA44" i="6"/>
  <c r="AB44" i="6" s="1"/>
  <c r="AA70" i="6"/>
  <c r="C82" i="6"/>
  <c r="G61" i="6"/>
  <c r="G77" i="6" s="1"/>
  <c r="G81" i="6" s="1"/>
  <c r="C85" i="6" l="1"/>
  <c r="C98" i="6" s="1"/>
  <c r="C101" i="6" s="1"/>
  <c r="E100" i="6" s="1"/>
  <c r="C83" i="6"/>
  <c r="E82" i="6"/>
  <c r="I61" i="6"/>
  <c r="I77" i="6" s="1"/>
  <c r="I81" i="6" s="1"/>
  <c r="C89" i="6" l="1"/>
  <c r="E85" i="6"/>
  <c r="E98" i="6" s="1"/>
  <c r="E101" i="6" s="1"/>
  <c r="E83" i="6"/>
  <c r="C90" i="6"/>
  <c r="K61" i="6"/>
  <c r="K77" i="6" s="1"/>
  <c r="K81" i="6" s="1"/>
  <c r="E90" i="6" l="1"/>
  <c r="E89" i="6"/>
  <c r="G82" i="6"/>
  <c r="G83" i="6" s="1"/>
  <c r="C92" i="6"/>
  <c r="C16" i="7"/>
  <c r="G100" i="6"/>
  <c r="C12" i="7"/>
  <c r="M61" i="6"/>
  <c r="M77" i="6" s="1"/>
  <c r="M81" i="6" s="1"/>
  <c r="E92" i="6" l="1"/>
  <c r="G85" i="6"/>
  <c r="G98" i="6" s="1"/>
  <c r="G101" i="6" s="1"/>
  <c r="C95" i="6"/>
  <c r="E94" i="6" s="1"/>
  <c r="AA12" i="7"/>
  <c r="C29" i="7"/>
  <c r="AA29" i="7" s="1"/>
  <c r="AA16" i="7"/>
  <c r="C31" i="7"/>
  <c r="AA31" i="7" s="1"/>
  <c r="O61" i="6"/>
  <c r="O77" i="6" s="1"/>
  <c r="O81" i="6" s="1"/>
  <c r="E95" i="6" l="1"/>
  <c r="G94" i="6" s="1"/>
  <c r="I82" i="6"/>
  <c r="I83" i="6" s="1"/>
  <c r="G90" i="6"/>
  <c r="G89" i="6"/>
  <c r="I100" i="6"/>
  <c r="C11" i="7"/>
  <c r="AA11" i="7" s="1"/>
  <c r="C15" i="7"/>
  <c r="Q61" i="6"/>
  <c r="Q77" i="6" s="1"/>
  <c r="Q81" i="6" s="1"/>
  <c r="I85" i="6" l="1"/>
  <c r="I90" i="6" s="1"/>
  <c r="G92" i="6"/>
  <c r="G95" i="6" s="1"/>
  <c r="I94" i="6" s="1"/>
  <c r="K82" i="6"/>
  <c r="K83" i="6" s="1"/>
  <c r="C28" i="7"/>
  <c r="AA28" i="7" s="1"/>
  <c r="AA15" i="7"/>
  <c r="C30" i="7"/>
  <c r="AA30" i="7" s="1"/>
  <c r="S61" i="6"/>
  <c r="S77" i="6" s="1"/>
  <c r="S81" i="6" s="1"/>
  <c r="I89" i="6" l="1"/>
  <c r="I92" i="6" s="1"/>
  <c r="I95" i="6" s="1"/>
  <c r="O94" i="6" s="1"/>
  <c r="I98" i="6"/>
  <c r="I101" i="6" s="1"/>
  <c r="S100" i="6" s="1"/>
  <c r="K85" i="6"/>
  <c r="K89" i="6" s="1"/>
  <c r="U61" i="6"/>
  <c r="U77" i="6" s="1"/>
  <c r="U81" i="6" s="1"/>
  <c r="M100" i="6" l="1"/>
  <c r="K100" i="6"/>
  <c r="O100" i="6"/>
  <c r="Y100" i="6"/>
  <c r="U100" i="6"/>
  <c r="W100" i="6"/>
  <c r="Q100" i="6"/>
  <c r="K98" i="6"/>
  <c r="U94" i="6"/>
  <c r="S94" i="6"/>
  <c r="M94" i="6"/>
  <c r="Y94" i="6"/>
  <c r="K90" i="6"/>
  <c r="K92" i="6" s="1"/>
  <c r="K94" i="6"/>
  <c r="W94" i="6"/>
  <c r="Q94" i="6"/>
  <c r="M82" i="6"/>
  <c r="M83" i="6" s="1"/>
  <c r="W61" i="6"/>
  <c r="W77" i="6" s="1"/>
  <c r="W81" i="6" s="1"/>
  <c r="K101" i="6" l="1"/>
  <c r="K95" i="6"/>
  <c r="M85" i="6"/>
  <c r="M89" i="6" s="1"/>
  <c r="Y61" i="6"/>
  <c r="Y77" i="6" s="1"/>
  <c r="M98" i="6" l="1"/>
  <c r="M101" i="6" s="1"/>
  <c r="AA77" i="6"/>
  <c r="Y81" i="6"/>
  <c r="M90" i="6"/>
  <c r="M92" i="6" s="1"/>
  <c r="M95" i="6" s="1"/>
  <c r="O82" i="6"/>
  <c r="O83" i="6" s="1"/>
  <c r="O85" i="6" l="1"/>
  <c r="O89" i="6" s="1"/>
  <c r="AA81" i="6"/>
  <c r="O90" i="6" l="1"/>
  <c r="O92" i="6" s="1"/>
  <c r="O95" i="6" s="1"/>
  <c r="O98" i="6"/>
  <c r="O101" i="6" s="1"/>
  <c r="Q82" i="6"/>
  <c r="Q83" i="6" s="1"/>
  <c r="Q85" i="6" l="1"/>
  <c r="Q90" i="6" s="1"/>
  <c r="Q98" i="6" l="1"/>
  <c r="Q101" i="6" s="1"/>
  <c r="Q89" i="6"/>
  <c r="Q92" i="6" s="1"/>
  <c r="Q95" i="6" s="1"/>
  <c r="S82" i="6"/>
  <c r="S83" i="6" s="1"/>
  <c r="S85" i="6" l="1"/>
  <c r="S98" i="6" s="1"/>
  <c r="S101" i="6" s="1"/>
  <c r="S89" i="6" l="1"/>
  <c r="S90" i="6"/>
  <c r="U82" i="6"/>
  <c r="U83" i="6" s="1"/>
  <c r="S92" i="6" l="1"/>
  <c r="S95" i="6" s="1"/>
  <c r="U85" i="6"/>
  <c r="U98" i="6" s="1"/>
  <c r="U101" i="6" s="1"/>
  <c r="U89" i="6" l="1"/>
  <c r="U90" i="6"/>
  <c r="W82" i="6"/>
  <c r="W83" i="6" s="1"/>
  <c r="U92" i="6" l="1"/>
  <c r="U95" i="6" s="1"/>
  <c r="W85" i="6"/>
  <c r="W98" i="6" s="1"/>
  <c r="W101" i="6" s="1"/>
  <c r="AA80" i="6" l="1"/>
  <c r="W90" i="6"/>
  <c r="W89" i="6"/>
  <c r="Y82" i="6"/>
  <c r="Y83" i="6" s="1"/>
  <c r="AA83" i="6" s="1"/>
  <c r="W92" i="6" l="1"/>
  <c r="W95" i="6" s="1"/>
  <c r="Y85" i="6"/>
  <c r="Y90" i="6" s="1"/>
  <c r="AA90" i="6" s="1"/>
  <c r="AA82" i="6"/>
  <c r="Y98" i="6" l="1"/>
  <c r="AA98" i="6" s="1"/>
  <c r="Y89" i="6"/>
  <c r="AA89" i="6" s="1"/>
  <c r="AA85" i="6"/>
  <c r="Y92" i="6" l="1"/>
  <c r="Y95" i="6" s="1"/>
  <c r="AA95" i="6" s="1"/>
  <c r="Y101" i="6"/>
  <c r="AA101" i="6" s="1"/>
  <c r="AA92" i="6" l="1"/>
</calcChain>
</file>

<file path=xl/sharedStrings.xml><?xml version="1.0" encoding="utf-8"?>
<sst xmlns="http://schemas.openxmlformats.org/spreadsheetml/2006/main" count="195" uniqueCount="117">
  <si>
    <t>Resultado</t>
  </si>
  <si>
    <t>IRPJ</t>
  </si>
  <si>
    <t>CSLL</t>
  </si>
  <si>
    <t>Prejuízo disponível à compensar</t>
  </si>
  <si>
    <t>IR Retido</t>
  </si>
  <si>
    <t>JAN</t>
  </si>
  <si>
    <t>FEV</t>
  </si>
  <si>
    <t>MAR</t>
  </si>
  <si>
    <t>ABR</t>
  </si>
  <si>
    <t>MAI</t>
  </si>
  <si>
    <t>JUN</t>
  </si>
  <si>
    <t>JUL</t>
  </si>
  <si>
    <t>AGO</t>
  </si>
  <si>
    <t>SET</t>
  </si>
  <si>
    <t>OUT</t>
  </si>
  <si>
    <t>NOV</t>
  </si>
  <si>
    <t>DEZ</t>
  </si>
  <si>
    <t>Lucro Líquido Antes dos Impostos do Período</t>
  </si>
  <si>
    <t>Lucro Líquido Antes dos Impostos Acumulado</t>
  </si>
  <si>
    <t>À Alíquota de 15%</t>
  </si>
  <si>
    <t>Adicional 10%</t>
  </si>
  <si>
    <t>ADIÇÕES</t>
  </si>
  <si>
    <t>(+) Despesas Indedutíveis</t>
  </si>
  <si>
    <t>EXCLUSÕES</t>
  </si>
  <si>
    <t>(-) Exclusões cfe legislação</t>
  </si>
  <si>
    <t>(-) Exclusões Subvenção</t>
  </si>
  <si>
    <t>COMPENSAÇÕES</t>
  </si>
  <si>
    <t>Prejuízo Acumulado (Período Anterior)</t>
  </si>
  <si>
    <t>(-) Compensação do Prejuízo (Limite de 30% s/ Lucro)</t>
  </si>
  <si>
    <t>Base de Cálculo</t>
  </si>
  <si>
    <t>IMPOSTO DE RENDA À RECOLHER NO PERÍODO</t>
  </si>
  <si>
    <t>APURAÇÃO IRPJ</t>
  </si>
  <si>
    <t>APURAÇÃO CSLL</t>
  </si>
  <si>
    <t>CONTRIBUIÇÃO SOCIAL À RECOLHER NO PERÍODO</t>
  </si>
  <si>
    <t>Imposto de Renda Acumulado</t>
  </si>
  <si>
    <t>Contribuição Social Acumulado</t>
  </si>
  <si>
    <t>CS Retido</t>
  </si>
  <si>
    <t>ANUAL</t>
  </si>
  <si>
    <t>Total das adições (acumulado)</t>
  </si>
  <si>
    <t>Total das exclusões (acumulado)</t>
  </si>
  <si>
    <t>IRPJ e CSLL</t>
  </si>
  <si>
    <t>DEMONSTRAÇÃO CONTÁBIL</t>
  </si>
  <si>
    <t>MEMÓRIA DE CÁLCULO</t>
  </si>
  <si>
    <t>VALORES RECOLHIDOS/COMPENSADO</t>
  </si>
  <si>
    <t>CONFRONTOS</t>
  </si>
  <si>
    <t>CONTÁBIL VS APURADO - IRPJ</t>
  </si>
  <si>
    <t>CONTÁBIL VS APURADO - CSLL</t>
  </si>
  <si>
    <t>APURADO VS DECLARADO - IRPJ</t>
  </si>
  <si>
    <t>APURADO VS DECLARADO - CSLL</t>
  </si>
  <si>
    <t>DECLARADO VS PAGO/COMPENSADO - IRPJ</t>
  </si>
  <si>
    <t>DECLARADO VS PAGO/COMPENSADO - CSLL</t>
  </si>
  <si>
    <t>Base Após Adições e Exclusões</t>
  </si>
  <si>
    <t>CONFRONTOS 2023 - APURAÇÕES VS DECLARAÇÕES_IRPJ E CSLL</t>
  </si>
  <si>
    <t>Prejuízo do Período</t>
  </si>
  <si>
    <t>(+) Multas Fiscais</t>
  </si>
  <si>
    <t>(+) Brindes</t>
  </si>
  <si>
    <t>ADIÇÕES (ACUMULADO)</t>
  </si>
  <si>
    <t>(+) Outros Gastos com Pessoal</t>
  </si>
  <si>
    <t>(+) Multas de Trânsito</t>
  </si>
  <si>
    <t>(+) Depreciação acelerada</t>
  </si>
  <si>
    <t>EXCLUSÕES (ACUMULADO)</t>
  </si>
  <si>
    <t>(-) Selic</t>
  </si>
  <si>
    <t>NOME DA EMPRESA</t>
  </si>
  <si>
    <t>CNPJ DA EMPRESA:</t>
  </si>
  <si>
    <t>ACOMPANHAMENTO DE RESULTADO_2026</t>
  </si>
  <si>
    <t>ACOMPANHAMENTO DE ESTOQUE_2026</t>
  </si>
  <si>
    <t>ACOMPANHAMENTO DE RESULTADO CONTÁBIL_2026</t>
  </si>
  <si>
    <t>(+) Receita de Venda de Mercadorias</t>
  </si>
  <si>
    <t>(+) Receita de Venda de Produtos</t>
  </si>
  <si>
    <t>(+) Receita de Transportes</t>
  </si>
  <si>
    <t>(+) Receita de Serviços</t>
  </si>
  <si>
    <t>(+) Receita de Locação</t>
  </si>
  <si>
    <t>(+) Receita Financeira</t>
  </si>
  <si>
    <t>(+) Receita de venda de Bens Imóveis</t>
  </si>
  <si>
    <t>(+) Demais receitas com vendas</t>
  </si>
  <si>
    <t>(+) Receita de Exportação de Produtos</t>
  </si>
  <si>
    <t>(+) Receita de Exportação de Mercadoria</t>
  </si>
  <si>
    <t>(+) Receita de Cartulas</t>
  </si>
  <si>
    <t>(-) Devoluções</t>
  </si>
  <si>
    <t>Receita Líquida</t>
  </si>
  <si>
    <t>(-) Outras  Deduções</t>
  </si>
  <si>
    <t>Outras Deduções da Receita</t>
  </si>
  <si>
    <t>(+) Incentivos Fiscais</t>
  </si>
  <si>
    <t>Incentivos Fiscais</t>
  </si>
  <si>
    <t>(-) CMV</t>
  </si>
  <si>
    <t>(-)  CPV</t>
  </si>
  <si>
    <t>(-)   CSP</t>
  </si>
  <si>
    <t>(-)   Custos com Produção</t>
  </si>
  <si>
    <t>(-)   Custos Alienação</t>
  </si>
  <si>
    <t>Custo Total</t>
  </si>
  <si>
    <t>(-) Despesas</t>
  </si>
  <si>
    <t>(+/-) Outros Resultados Operacionais</t>
  </si>
  <si>
    <t>(+/-) Resultado Financeiro</t>
  </si>
  <si>
    <t>APURAÇÃO IRPJ E CSLL_SUSPENSÃO/REDUÇÃO_2026</t>
  </si>
  <si>
    <t>Compras (Média)</t>
  </si>
  <si>
    <t>Estoque Contábil</t>
  </si>
  <si>
    <t>Estoque Relatório Gerencial</t>
  </si>
  <si>
    <t>Dif. Estoque (Gerencial Vs Contábil)</t>
  </si>
  <si>
    <t>CSLL pago antecipadamente</t>
  </si>
  <si>
    <t>IRPJ pago antecipadamente</t>
  </si>
  <si>
    <t>%</t>
  </si>
  <si>
    <t>Adições e Exclusões_2026</t>
  </si>
  <si>
    <t>JAN_2026</t>
  </si>
  <si>
    <t>FEV_2026</t>
  </si>
  <si>
    <t>MAR_2026</t>
  </si>
  <si>
    <t>ABR_2026</t>
  </si>
  <si>
    <t>MAI_2026</t>
  </si>
  <si>
    <t>JUN_2026</t>
  </si>
  <si>
    <t>JUL_2026</t>
  </si>
  <si>
    <t>AGO_2026</t>
  </si>
  <si>
    <t>SET_2026</t>
  </si>
  <si>
    <t>OUT_2026</t>
  </si>
  <si>
    <t>NOV_2026</t>
  </si>
  <si>
    <t>DEZ_2026</t>
  </si>
  <si>
    <t>TOTAL 2026</t>
  </si>
  <si>
    <t>Observações:</t>
  </si>
  <si>
    <t>VALORES DECLARADOS 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</si>
</sst>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43" formatCode="_-* #,##0.00_-;\-* #,##0.00_-;_-* &quot;-&quot;??_-;_-@_-"/>
    <numFmt numFmtId="164" formatCode="_-&quot;R$&quot;* #,##0.00_-;\-&quot;R$&quot;* #,##0.00_-;_-&quot;R$&quot;* &quot;-&quot;??_-;_-@_-"/>
    <numFmt numFmtId="165" formatCode="_(&quot;R$&quot;* #,##0.00_);_(&quot;R$&quot;* \(#,##0.00\);_(&quot;R$&quot;* &quot;-&quot;??_);_(@_)"/>
    <numFmt numFmtId="166" formatCode="#,##0.00_ ;[Red]\-#,##0.00\ "/>
    <numFmt numFmtId="167" formatCode="#,##0.00_ ;\-#,##0.00\ "/>
  </numFmts>
  <fonts count="4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FF0000"/>
      <name val="Calibri"/>
      <family val="2"/>
      <scheme val="minor"/>
    </font>
    <font>
      <b/>
      <sz val="12"/>
      <color theme="1"/>
      <name val="Calibri"/>
      <family val="2"/>
      <scheme val="minor"/>
    </font>
    <font>
      <sz val="1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2"/>
      <color rgb="FFFF0000"/>
      <name val="Calibri"/>
      <family val="2"/>
      <scheme val="minor"/>
    </font>
    <font>
      <i/>
      <sz val="12"/>
      <color theme="1"/>
      <name val="Calibri"/>
      <family val="2"/>
      <scheme val="minor"/>
    </font>
    <font>
      <sz val="12"/>
      <color rgb="FF002060"/>
      <name val="Calibri"/>
      <family val="2"/>
      <scheme val="minor"/>
    </font>
    <font>
      <b/>
      <u/>
      <sz val="12"/>
      <color theme="0"/>
      <name val="Calibri"/>
      <family val="2"/>
      <scheme val="minor"/>
    </font>
    <font>
      <sz val="12"/>
      <color rgb="FF000000"/>
      <name val="Calibri"/>
      <family val="2"/>
    </font>
    <font>
      <b/>
      <sz val="16"/>
      <color theme="0"/>
      <name val="Calibri"/>
      <family val="2"/>
    </font>
    <font>
      <b/>
      <sz val="14"/>
      <color theme="0"/>
      <name val="Calibri"/>
      <family val="2"/>
    </font>
    <font>
      <b/>
      <sz val="12"/>
      <color indexed="8"/>
      <name val="Calibri"/>
      <family val="2"/>
    </font>
    <font>
      <b/>
      <sz val="11"/>
      <color indexed="9"/>
      <name val="Calibri"/>
      <family val="2"/>
    </font>
    <font>
      <sz val="11"/>
      <color indexed="8"/>
      <name val="Calibri"/>
      <family val="2"/>
    </font>
    <font>
      <sz val="8"/>
      <color indexed="62"/>
      <name val="Calibri"/>
      <family val="2"/>
    </font>
    <font>
      <i/>
      <sz val="11"/>
      <color indexed="56"/>
      <name val="Calibri"/>
      <family val="2"/>
    </font>
    <font>
      <sz val="11"/>
      <color indexed="62"/>
      <name val="Calibri"/>
      <family val="2"/>
    </font>
    <font>
      <sz val="11"/>
      <color indexed="10"/>
      <name val="Calibri"/>
      <family val="2"/>
    </font>
    <font>
      <i/>
      <sz val="11"/>
      <color indexed="62"/>
      <name val="Calibri"/>
      <family val="2"/>
    </font>
    <font>
      <i/>
      <sz val="9"/>
      <color indexed="10"/>
      <name val="Calibri"/>
      <family val="2"/>
    </font>
    <font>
      <i/>
      <sz val="11"/>
      <color indexed="10"/>
      <name val="Calibri"/>
      <family val="2"/>
    </font>
    <font>
      <b/>
      <sz val="14"/>
      <color theme="0" tint="-4.9989318521683403E-2"/>
      <name val="Calibri"/>
      <family val="2"/>
      <scheme val="minor"/>
    </font>
    <font>
      <b/>
      <sz val="11"/>
      <color theme="0" tint="-4.9989318521683403E-2"/>
      <name val="Calibri"/>
      <family val="2"/>
      <scheme val="minor"/>
    </font>
    <font>
      <b/>
      <sz val="10"/>
      <color theme="0" tint="-4.9989318521683403E-2"/>
      <name val="Calibri"/>
      <family val="2"/>
      <scheme val="minor"/>
    </font>
    <font>
      <sz val="10"/>
      <color theme="1"/>
      <name val="Calibri"/>
      <family val="2"/>
      <scheme val="minor"/>
    </font>
    <font>
      <i/>
      <sz val="10"/>
      <color indexed="56"/>
      <name val="Calibri"/>
      <family val="2"/>
    </font>
    <font>
      <b/>
      <u/>
      <sz val="10"/>
      <color indexed="9"/>
      <name val="Calibri"/>
      <family val="2"/>
    </font>
    <font>
      <b/>
      <sz val="11"/>
      <color theme="0"/>
      <name val="Calibri"/>
      <family val="2"/>
      <scheme val="minor"/>
    </font>
    <font>
      <sz val="8"/>
      <name val="Arial"/>
      <family val="2"/>
    </font>
    <font>
      <sz val="12"/>
      <name val="Calibri"/>
      <family val="2"/>
      <scheme val="minor"/>
    </font>
    <font>
      <b/>
      <u/>
      <sz val="14"/>
      <color theme="0"/>
      <name val="Calibri"/>
      <family val="2"/>
      <scheme val="minor"/>
    </font>
    <font>
      <sz val="8"/>
      <name val="Calibri"/>
      <family val="2"/>
      <scheme val="minor"/>
    </font>
    <font>
      <sz val="11"/>
      <color indexed="56"/>
      <name val="Calibri"/>
      <family val="2"/>
    </font>
    <font>
      <b/>
      <u/>
      <sz val="12"/>
      <name val="Calibri"/>
      <family val="2"/>
      <scheme val="minor"/>
    </font>
    <font>
      <b/>
      <sz val="11"/>
      <name val="Calibri"/>
      <family val="2"/>
      <scheme val="minor"/>
    </font>
    <font>
      <b/>
      <u/>
      <sz val="11"/>
      <color theme="0"/>
      <name val="Calibri"/>
      <family val="2"/>
      <scheme val="minor"/>
    </font>
    <font>
      <i/>
      <sz val="11"/>
      <color theme="1"/>
      <name val="Calibri"/>
      <family val="2"/>
      <scheme val="minor"/>
    </font>
    <font>
      <sz val="11"/>
      <color rgb="FF002060"/>
      <name val="Calibri"/>
      <family val="2"/>
      <scheme val="minor"/>
    </font>
    <font>
      <u/>
      <sz val="11"/>
      <color theme="10"/>
      <name val="Calibri"/>
      <family val="2"/>
      <scheme val="minor"/>
    </font>
    <font>
      <b/>
      <sz val="11"/>
      <color theme="4" tint="-0.249977111117893"/>
      <name val="Calibri"/>
      <family val="2"/>
      <scheme val="minor"/>
    </font>
    <font>
      <b/>
      <i/>
      <sz val="11"/>
      <color theme="0"/>
      <name val="Calibri"/>
      <family val="2"/>
      <scheme val="minor"/>
    </font>
    <font>
      <b/>
      <i/>
      <sz val="11"/>
      <color theme="1"/>
      <name val="Calibri"/>
      <family val="2"/>
      <scheme val="minor"/>
    </font>
    <font>
      <b/>
      <i/>
      <sz val="11"/>
      <color indexed="56"/>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indexed="9"/>
        <bgColor indexed="64"/>
      </patternFill>
    </fill>
    <fill>
      <patternFill patternType="solid">
        <fgColor indexed="54"/>
        <bgColor indexed="64"/>
      </patternFill>
    </fill>
    <fill>
      <patternFill patternType="solid">
        <fgColor indexed="22"/>
        <bgColor indexed="64"/>
      </patternFill>
    </fill>
    <fill>
      <patternFill patternType="solid">
        <fgColor theme="3" tint="-0.499984740745262"/>
        <bgColor indexed="64"/>
      </patternFill>
    </fill>
    <fill>
      <patternFill patternType="solid">
        <fgColor theme="2"/>
        <bgColor indexed="64"/>
      </patternFill>
    </fill>
  </fills>
  <borders count="56">
    <border>
      <left/>
      <right/>
      <top/>
      <bottom/>
      <diagonal/>
    </border>
    <border>
      <left style="thin">
        <color theme="4"/>
      </left>
      <right/>
      <top/>
      <bottom/>
      <diagonal/>
    </border>
    <border>
      <left style="dashed">
        <color indexed="54"/>
      </left>
      <right style="dashed">
        <color indexed="64"/>
      </right>
      <top style="dashed">
        <color indexed="54"/>
      </top>
      <bottom style="dashed">
        <color indexed="54"/>
      </bottom>
      <diagonal/>
    </border>
    <border>
      <left style="dashed">
        <color indexed="54"/>
      </left>
      <right style="dashed">
        <color indexed="54"/>
      </right>
      <top style="dashed">
        <color indexed="54"/>
      </top>
      <bottom style="dashed">
        <color indexed="54"/>
      </bottom>
      <diagonal/>
    </border>
    <border>
      <left/>
      <right style="dashed">
        <color indexed="54"/>
      </right>
      <top style="dashed">
        <color indexed="54"/>
      </top>
      <bottom style="dashed">
        <color indexed="54"/>
      </bottom>
      <diagonal/>
    </border>
    <border>
      <left style="medium">
        <color indexed="64"/>
      </left>
      <right/>
      <top style="medium">
        <color indexed="64"/>
      </top>
      <bottom style="medium">
        <color indexed="64"/>
      </bottom>
      <diagonal/>
    </border>
    <border>
      <left style="thin">
        <color indexed="56"/>
      </left>
      <right/>
      <top style="medium">
        <color indexed="64"/>
      </top>
      <bottom style="medium">
        <color indexed="64"/>
      </bottom>
      <diagonal/>
    </border>
    <border>
      <left/>
      <right style="thin">
        <color indexed="56"/>
      </right>
      <top style="medium">
        <color indexed="64"/>
      </top>
      <bottom style="medium">
        <color indexed="64"/>
      </bottom>
      <diagonal/>
    </border>
    <border>
      <left/>
      <right/>
      <top style="medium">
        <color indexed="64"/>
      </top>
      <bottom style="double">
        <color indexed="64"/>
      </bottom>
      <diagonal/>
    </border>
    <border>
      <left style="double">
        <color indexed="64"/>
      </left>
      <right/>
      <top style="double">
        <color indexed="64"/>
      </top>
      <bottom/>
      <diagonal/>
    </border>
    <border>
      <left style="double">
        <color indexed="64"/>
      </left>
      <right style="dashed">
        <color indexed="64"/>
      </right>
      <top style="double">
        <color indexed="64"/>
      </top>
      <bottom/>
      <diagonal/>
    </border>
    <border>
      <left style="dashed">
        <color indexed="64"/>
      </left>
      <right style="double">
        <color indexed="64"/>
      </right>
      <top style="double">
        <color indexed="64"/>
      </top>
      <bottom/>
      <diagonal/>
    </border>
    <border>
      <left/>
      <right style="double">
        <color indexed="64"/>
      </right>
      <top style="double">
        <color indexed="64"/>
      </top>
      <bottom/>
      <diagonal/>
    </border>
    <border>
      <left style="double">
        <color indexed="64"/>
      </left>
      <right style="double">
        <color indexed="64"/>
      </right>
      <top style="double">
        <color indexed="64"/>
      </top>
      <bottom/>
      <diagonal/>
    </border>
    <border>
      <left style="double">
        <color indexed="64"/>
      </left>
      <right/>
      <top/>
      <bottom/>
      <diagonal/>
    </border>
    <border>
      <left style="double">
        <color indexed="64"/>
      </left>
      <right style="dashed">
        <color indexed="64"/>
      </right>
      <top/>
      <bottom/>
      <diagonal/>
    </border>
    <border>
      <left style="dashed">
        <color indexed="64"/>
      </left>
      <right style="double">
        <color indexed="64"/>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bottom style="double">
        <color indexed="64"/>
      </bottom>
      <diagonal/>
    </border>
    <border>
      <left style="double">
        <color indexed="64"/>
      </left>
      <right style="dashed">
        <color indexed="64"/>
      </right>
      <top/>
      <bottom style="double">
        <color indexed="64"/>
      </bottom>
      <diagonal/>
    </border>
    <border>
      <left/>
      <right style="double">
        <color indexed="64"/>
      </right>
      <top/>
      <bottom style="double">
        <color indexed="64"/>
      </bottom>
      <diagonal/>
    </border>
    <border>
      <left style="dashed">
        <color indexed="64"/>
      </left>
      <right style="double">
        <color indexed="64"/>
      </right>
      <top/>
      <bottom style="double">
        <color indexed="64"/>
      </bottom>
      <diagonal/>
    </border>
    <border>
      <left style="double">
        <color indexed="64"/>
      </left>
      <right style="double">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bottom style="medium">
        <color indexed="64"/>
      </bottom>
      <diagonal/>
    </border>
    <border>
      <left/>
      <right style="double">
        <color indexed="64"/>
      </right>
      <top/>
      <bottom style="medium">
        <color indexed="64"/>
      </bottom>
      <diagonal/>
    </border>
    <border>
      <left/>
      <right/>
      <top style="double">
        <color theme="4" tint="0.59999389629810485"/>
      </top>
      <bottom/>
      <diagonal/>
    </border>
    <border>
      <left/>
      <right/>
      <top/>
      <bottom style="double">
        <color indexed="64"/>
      </bottom>
      <diagonal/>
    </border>
    <border>
      <left/>
      <right/>
      <top/>
      <bottom style="thin">
        <color theme="3"/>
      </bottom>
      <diagonal/>
    </border>
    <border>
      <left/>
      <right/>
      <top/>
      <bottom style="double">
        <color theme="4" tint="0.59999389629810485"/>
      </bottom>
      <diagonal/>
    </border>
    <border>
      <left style="dashed">
        <color indexed="64"/>
      </left>
      <right style="dashed">
        <color indexed="64"/>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dashed">
        <color indexed="64"/>
      </left>
      <right style="hair">
        <color indexed="64"/>
      </right>
      <top/>
      <bottom/>
      <diagonal/>
    </border>
    <border>
      <left style="hair">
        <color indexed="64"/>
      </left>
      <right/>
      <top style="double">
        <color theme="4" tint="0.59999389629810485"/>
      </top>
      <bottom/>
      <diagonal/>
    </border>
    <border>
      <left/>
      <right style="hair">
        <color indexed="64"/>
      </right>
      <top style="double">
        <color theme="4" tint="0.59999389629810485"/>
      </top>
      <bottom/>
      <diagonal/>
    </border>
    <border>
      <left style="hair">
        <color indexed="64"/>
      </left>
      <right/>
      <top/>
      <bottom style="thin">
        <color theme="3"/>
      </bottom>
      <diagonal/>
    </border>
    <border>
      <left/>
      <right style="hair">
        <color indexed="64"/>
      </right>
      <top/>
      <bottom style="thin">
        <color theme="3"/>
      </bottom>
      <diagonal/>
    </border>
    <border>
      <left style="hair">
        <color indexed="64"/>
      </left>
      <right/>
      <top/>
      <bottom style="double">
        <color theme="4" tint="0.59999389629810485"/>
      </bottom>
      <diagonal/>
    </border>
    <border>
      <left/>
      <right style="hair">
        <color indexed="64"/>
      </right>
      <top/>
      <bottom style="double">
        <color theme="4" tint="0.59999389629810485"/>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14" fillId="0" borderId="0"/>
    <xf numFmtId="44" fontId="19" fillId="0" borderId="0" applyFont="0" applyFill="0" applyBorder="0" applyAlignment="0" applyProtection="0"/>
    <xf numFmtId="0" fontId="1" fillId="0" borderId="0"/>
    <xf numFmtId="0" fontId="34" fillId="0" borderId="0"/>
    <xf numFmtId="43" fontId="1" fillId="0" borderId="0" applyFont="0" applyFill="0" applyBorder="0" applyAlignment="0" applyProtection="0"/>
    <xf numFmtId="0" fontId="44" fillId="0" borderId="0" applyNumberFormat="0" applyFill="0" applyBorder="0" applyAlignment="0" applyProtection="0"/>
  </cellStyleXfs>
  <cellXfs count="242">
    <xf numFmtId="0" fontId="0" fillId="0" borderId="0" xfId="0"/>
    <xf numFmtId="0" fontId="0" fillId="2" borderId="0" xfId="0" applyFill="1"/>
    <xf numFmtId="0" fontId="0" fillId="0" borderId="0" xfId="0" applyAlignment="1">
      <alignment horizontal="center"/>
    </xf>
    <xf numFmtId="44" fontId="0" fillId="2" borderId="0" xfId="0" applyNumberFormat="1" applyFill="1"/>
    <xf numFmtId="44" fontId="0" fillId="0" borderId="0" xfId="0" applyNumberFormat="1"/>
    <xf numFmtId="44" fontId="0" fillId="0" borderId="0" xfId="1" applyFont="1"/>
    <xf numFmtId="0" fontId="5" fillId="0" borderId="0" xfId="0" applyFont="1" applyAlignment="1">
      <alignment horizontal="center" vertical="center"/>
    </xf>
    <xf numFmtId="0" fontId="3" fillId="0" borderId="0" xfId="0" applyFont="1" applyAlignment="1">
      <alignment horizontal="center"/>
    </xf>
    <xf numFmtId="165" fontId="0" fillId="0" borderId="0" xfId="0" applyNumberFormat="1"/>
    <xf numFmtId="0" fontId="7" fillId="0" borderId="0" xfId="0" applyFont="1"/>
    <xf numFmtId="0" fontId="9" fillId="2" borderId="0" xfId="0" applyFont="1" applyFill="1" applyAlignment="1">
      <alignment horizontal="center"/>
    </xf>
    <xf numFmtId="0" fontId="7" fillId="2" borderId="0" xfId="0" applyFont="1" applyFill="1"/>
    <xf numFmtId="44" fontId="7" fillId="0" borderId="0" xfId="1" applyFont="1" applyBorder="1"/>
    <xf numFmtId="44" fontId="7" fillId="0" borderId="0" xfId="0" applyNumberFormat="1" applyFont="1"/>
    <xf numFmtId="44" fontId="5" fillId="0" borderId="0" xfId="1" applyFont="1" applyFill="1" applyBorder="1"/>
    <xf numFmtId="44" fontId="7" fillId="0" borderId="0" xfId="1" applyFont="1"/>
    <xf numFmtId="0" fontId="5" fillId="0" borderId="0" xfId="0" applyFont="1"/>
    <xf numFmtId="40" fontId="7" fillId="0" borderId="0" xfId="0" applyNumberFormat="1" applyFont="1"/>
    <xf numFmtId="164" fontId="7" fillId="0" borderId="0" xfId="0" applyNumberFormat="1" applyFont="1"/>
    <xf numFmtId="167" fontId="7" fillId="0" borderId="0" xfId="0" applyNumberFormat="1" applyFont="1"/>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8" fillId="10" borderId="5" xfId="0" applyFont="1" applyFill="1" applyBorder="1" applyAlignment="1">
      <alignment horizontal="center" vertical="center"/>
    </xf>
    <xf numFmtId="0" fontId="18" fillId="10" borderId="6" xfId="0" applyFont="1" applyFill="1" applyBorder="1" applyAlignment="1">
      <alignment horizontal="center" vertical="center"/>
    </xf>
    <xf numFmtId="0" fontId="0" fillId="0" borderId="8" xfId="0" applyBorder="1"/>
    <xf numFmtId="0" fontId="0" fillId="0" borderId="14" xfId="0" applyBorder="1"/>
    <xf numFmtId="0" fontId="21" fillId="0" borderId="14" xfId="0" applyFont="1" applyBorder="1" applyAlignment="1">
      <alignment horizontal="right"/>
    </xf>
    <xf numFmtId="0" fontId="21" fillId="0" borderId="0" xfId="0" applyFont="1" applyAlignment="1">
      <alignment horizontal="right"/>
    </xf>
    <xf numFmtId="44" fontId="19" fillId="0" borderId="0" xfId="4" applyFont="1" applyFill="1"/>
    <xf numFmtId="4" fontId="21" fillId="0" borderId="0" xfId="0" applyNumberFormat="1" applyFont="1" applyAlignment="1">
      <alignment horizontal="right"/>
    </xf>
    <xf numFmtId="165" fontId="21" fillId="0" borderId="0" xfId="0" applyNumberFormat="1" applyFont="1" applyAlignment="1">
      <alignment horizontal="right"/>
    </xf>
    <xf numFmtId="44" fontId="30" fillId="9" borderId="9" xfId="0" applyNumberFormat="1" applyFont="1" applyFill="1" applyBorder="1" applyAlignment="1">
      <alignment horizontal="right"/>
    </xf>
    <xf numFmtId="0" fontId="31" fillId="9" borderId="14" xfId="0" applyFont="1" applyFill="1" applyBorder="1" applyAlignment="1">
      <alignment horizontal="right"/>
    </xf>
    <xf numFmtId="44" fontId="30" fillId="0" borderId="14" xfId="0" applyNumberFormat="1" applyFont="1" applyBorder="1" applyAlignment="1">
      <alignment horizontal="right"/>
    </xf>
    <xf numFmtId="0" fontId="31" fillId="0" borderId="14" xfId="0" applyFont="1" applyBorder="1" applyAlignment="1">
      <alignment horizontal="right"/>
    </xf>
    <xf numFmtId="0" fontId="31" fillId="0" borderId="19" xfId="0" applyFont="1" applyBorder="1" applyAlignment="1">
      <alignment horizontal="right"/>
    </xf>
    <xf numFmtId="44" fontId="20" fillId="0" borderId="10" xfId="4" applyFont="1" applyFill="1" applyBorder="1" applyAlignment="1">
      <alignment horizontal="center" vertical="center"/>
    </xf>
    <xf numFmtId="44" fontId="19" fillId="0" borderId="11" xfId="4" applyFont="1" applyFill="1" applyBorder="1" applyAlignment="1">
      <alignment horizontal="right"/>
    </xf>
    <xf numFmtId="44" fontId="19" fillId="0" borderId="12" xfId="4" applyFont="1" applyFill="1" applyBorder="1" applyAlignment="1">
      <alignment horizontal="right"/>
    </xf>
    <xf numFmtId="44" fontId="19" fillId="0" borderId="13" xfId="4" applyFont="1" applyFill="1" applyBorder="1" applyAlignment="1">
      <alignment horizontal="right"/>
    </xf>
    <xf numFmtId="0" fontId="31" fillId="0" borderId="0" xfId="0" applyFont="1" applyAlignment="1">
      <alignment horizontal="right"/>
    </xf>
    <xf numFmtId="44" fontId="21" fillId="0" borderId="0" xfId="4" applyFont="1" applyFill="1" applyBorder="1" applyAlignment="1">
      <alignment horizontal="right"/>
    </xf>
    <xf numFmtId="44" fontId="19" fillId="0" borderId="0" xfId="4" applyFont="1" applyFill="1" applyBorder="1" applyAlignment="1">
      <alignment horizontal="right"/>
    </xf>
    <xf numFmtId="0" fontId="32" fillId="10" borderId="5" xfId="0" applyFont="1" applyFill="1" applyBorder="1" applyAlignment="1">
      <alignment horizontal="right" vertical="center"/>
    </xf>
    <xf numFmtId="0" fontId="31" fillId="0" borderId="24" xfId="0" applyFont="1" applyBorder="1" applyAlignment="1">
      <alignment horizontal="right"/>
    </xf>
    <xf numFmtId="0" fontId="31" fillId="0" borderId="27" xfId="0" applyFont="1" applyBorder="1" applyAlignment="1">
      <alignment horizontal="right"/>
    </xf>
    <xf numFmtId="0" fontId="31" fillId="0" borderId="29" xfId="0" applyFont="1" applyBorder="1" applyAlignment="1">
      <alignment horizontal="right"/>
    </xf>
    <xf numFmtId="0" fontId="6" fillId="0" borderId="0" xfId="0" applyFont="1"/>
    <xf numFmtId="0" fontId="9" fillId="0" borderId="0" xfId="0" applyFont="1"/>
    <xf numFmtId="0" fontId="9" fillId="2" borderId="0" xfId="0" applyFont="1" applyFill="1"/>
    <xf numFmtId="8" fontId="12" fillId="0" borderId="0" xfId="1" applyNumberFormat="1" applyFont="1" applyBorder="1"/>
    <xf numFmtId="0" fontId="33" fillId="5" borderId="0" xfId="0" applyFont="1" applyFill="1" applyAlignment="1">
      <alignment horizontal="center"/>
    </xf>
    <xf numFmtId="0" fontId="33" fillId="5" borderId="1" xfId="0" applyFont="1" applyFill="1" applyBorder="1" applyAlignment="1">
      <alignment horizontal="center"/>
    </xf>
    <xf numFmtId="0" fontId="33" fillId="0" borderId="0" xfId="0" applyFont="1" applyAlignment="1">
      <alignment horizontal="center"/>
    </xf>
    <xf numFmtId="0" fontId="2" fillId="0" borderId="0" xfId="0" applyFont="1" applyAlignment="1">
      <alignment horizontal="right"/>
    </xf>
    <xf numFmtId="44" fontId="2" fillId="0" borderId="0" xfId="1" applyFont="1" applyFill="1"/>
    <xf numFmtId="0" fontId="0" fillId="2" borderId="0" xfId="0" applyFill="1" applyAlignment="1">
      <alignment horizontal="right"/>
    </xf>
    <xf numFmtId="44" fontId="0" fillId="2" borderId="0" xfId="1" applyFont="1" applyFill="1"/>
    <xf numFmtId="0" fontId="3" fillId="2" borderId="0" xfId="0" applyFont="1" applyFill="1"/>
    <xf numFmtId="44" fontId="2" fillId="6" borderId="0" xfId="1" applyFont="1" applyFill="1"/>
    <xf numFmtId="0" fontId="0" fillId="0" borderId="37" xfId="0" applyBorder="1"/>
    <xf numFmtId="0" fontId="0" fillId="8" borderId="0" xfId="0" applyFill="1" applyAlignment="1">
      <alignment horizontal="center"/>
    </xf>
    <xf numFmtId="0" fontId="15" fillId="8" borderId="0" xfId="3" applyFont="1" applyFill="1" applyAlignment="1">
      <alignment horizontal="center" vertical="center"/>
    </xf>
    <xf numFmtId="0" fontId="16" fillId="8" borderId="0" xfId="3" applyFont="1" applyFill="1" applyAlignment="1">
      <alignment horizontal="center"/>
    </xf>
    <xf numFmtId="8" fontId="13" fillId="0" borderId="0" xfId="1" applyNumberFormat="1" applyFont="1" applyFill="1" applyBorder="1"/>
    <xf numFmtId="44" fontId="39" fillId="0" borderId="0" xfId="1" applyFont="1" applyFill="1" applyBorder="1"/>
    <xf numFmtId="0" fontId="35" fillId="0" borderId="0" xfId="0" applyFont="1"/>
    <xf numFmtId="8" fontId="39" fillId="0" borderId="0" xfId="1" applyNumberFormat="1" applyFont="1" applyFill="1" applyBorder="1"/>
    <xf numFmtId="43" fontId="40" fillId="13" borderId="0" xfId="7" applyFont="1" applyFill="1" applyBorder="1" applyAlignment="1"/>
    <xf numFmtId="43" fontId="0" fillId="2" borderId="0" xfId="4" applyNumberFormat="1" applyFont="1" applyFill="1" applyBorder="1"/>
    <xf numFmtId="43" fontId="0" fillId="0" borderId="0" xfId="1" applyNumberFormat="1" applyFont="1" applyFill="1" applyBorder="1"/>
    <xf numFmtId="43" fontId="6" fillId="0" borderId="0" xfId="1" applyNumberFormat="1" applyFont="1" applyFill="1" applyBorder="1"/>
    <xf numFmtId="43" fontId="0" fillId="0" borderId="0" xfId="0" applyNumberFormat="1"/>
    <xf numFmtId="43" fontId="6" fillId="0" borderId="0" xfId="1" applyNumberFormat="1" applyFont="1" applyBorder="1"/>
    <xf numFmtId="0" fontId="3" fillId="0" borderId="0" xfId="0" applyFont="1"/>
    <xf numFmtId="166" fontId="0" fillId="0" borderId="0" xfId="0" applyNumberFormat="1"/>
    <xf numFmtId="8" fontId="0" fillId="0" borderId="0" xfId="1" applyNumberFormat="1" applyFont="1" applyBorder="1"/>
    <xf numFmtId="43" fontId="0" fillId="0" borderId="0" xfId="1" applyNumberFormat="1" applyFont="1" applyBorder="1"/>
    <xf numFmtId="164" fontId="4" fillId="0" borderId="0" xfId="0" applyNumberFormat="1" applyFont="1"/>
    <xf numFmtId="8" fontId="43" fillId="0" borderId="0" xfId="1" applyNumberFormat="1" applyFont="1" applyBorder="1"/>
    <xf numFmtId="0" fontId="41" fillId="5" borderId="0" xfId="8" applyFont="1" applyFill="1" applyBorder="1" applyAlignment="1">
      <alignment horizontal="center" vertical="center"/>
    </xf>
    <xf numFmtId="43" fontId="0" fillId="6" borderId="36" xfId="7" applyFont="1" applyFill="1" applyBorder="1"/>
    <xf numFmtId="43" fontId="0" fillId="2" borderId="0" xfId="7" applyFont="1" applyFill="1" applyBorder="1"/>
    <xf numFmtId="43" fontId="0" fillId="6" borderId="0" xfId="7" applyFont="1" applyFill="1" applyBorder="1"/>
    <xf numFmtId="43" fontId="0" fillId="4" borderId="38" xfId="7" applyFont="1" applyFill="1" applyBorder="1"/>
    <xf numFmtId="43" fontId="33" fillId="7" borderId="39" xfId="7" applyFont="1" applyFill="1" applyBorder="1"/>
    <xf numFmtId="166" fontId="3" fillId="0" borderId="0" xfId="0" applyNumberFormat="1" applyFont="1"/>
    <xf numFmtId="43" fontId="3" fillId="0" borderId="0" xfId="0" applyNumberFormat="1" applyFont="1"/>
    <xf numFmtId="43" fontId="2" fillId="0" borderId="0" xfId="0" applyNumberFormat="1" applyFont="1"/>
    <xf numFmtId="0" fontId="17" fillId="0" borderId="40" xfId="0" applyFont="1" applyBorder="1" applyAlignment="1">
      <alignment horizontal="center" vertical="center"/>
    </xf>
    <xf numFmtId="9" fontId="6" fillId="2" borderId="0" xfId="2" applyFont="1" applyFill="1" applyBorder="1" applyAlignment="1"/>
    <xf numFmtId="9" fontId="2" fillId="13" borderId="0" xfId="2" applyFont="1" applyFill="1" applyBorder="1" applyAlignment="1"/>
    <xf numFmtId="43" fontId="2" fillId="0" borderId="0" xfId="1" applyNumberFormat="1" applyFont="1" applyFill="1" applyBorder="1"/>
    <xf numFmtId="43" fontId="22" fillId="0" borderId="15" xfId="4" applyNumberFormat="1" applyFont="1" applyFill="1" applyBorder="1" applyAlignment="1">
      <alignment horizontal="right"/>
    </xf>
    <xf numFmtId="43" fontId="19" fillId="0" borderId="16" xfId="4" applyNumberFormat="1" applyFont="1" applyFill="1" applyBorder="1" applyAlignment="1">
      <alignment horizontal="right"/>
    </xf>
    <xf numFmtId="43" fontId="19" fillId="0" borderId="17" xfId="4" applyNumberFormat="1" applyFont="1" applyFill="1" applyBorder="1" applyAlignment="1">
      <alignment horizontal="right"/>
    </xf>
    <xf numFmtId="43" fontId="19" fillId="0" borderId="18" xfId="4" applyNumberFormat="1" applyFont="1" applyFill="1" applyBorder="1" applyAlignment="1">
      <alignment horizontal="right"/>
    </xf>
    <xf numFmtId="43" fontId="19" fillId="0" borderId="15" xfId="4" applyNumberFormat="1" applyFont="1" applyFill="1" applyBorder="1"/>
    <xf numFmtId="43" fontId="19" fillId="0" borderId="16" xfId="4" applyNumberFormat="1" applyFont="1" applyFill="1" applyBorder="1"/>
    <xf numFmtId="43" fontId="19" fillId="0" borderId="17" xfId="4" applyNumberFormat="1" applyFont="1" applyFill="1" applyBorder="1"/>
    <xf numFmtId="43" fontId="19" fillId="0" borderId="18" xfId="4" applyNumberFormat="1" applyFont="1" applyFill="1" applyBorder="1"/>
    <xf numFmtId="43" fontId="20" fillId="0" borderId="15" xfId="4" applyNumberFormat="1" applyFont="1" applyFill="1" applyBorder="1" applyAlignment="1">
      <alignment horizontal="center"/>
    </xf>
    <xf numFmtId="43" fontId="21" fillId="0" borderId="16" xfId="4" applyNumberFormat="1" applyFont="1" applyFill="1" applyBorder="1" applyAlignment="1">
      <alignment horizontal="right"/>
    </xf>
    <xf numFmtId="43" fontId="21" fillId="0" borderId="17" xfId="4" applyNumberFormat="1" applyFont="1" applyFill="1" applyBorder="1" applyAlignment="1">
      <alignment horizontal="right"/>
    </xf>
    <xf numFmtId="43" fontId="23" fillId="0" borderId="15" xfId="4" applyNumberFormat="1" applyFont="1" applyFill="1" applyBorder="1"/>
    <xf numFmtId="43" fontId="24" fillId="0" borderId="15" xfId="4" applyNumberFormat="1" applyFont="1" applyFill="1" applyBorder="1" applyAlignment="1"/>
    <xf numFmtId="43" fontId="24" fillId="0" borderId="16" xfId="4" applyNumberFormat="1" applyFont="1" applyFill="1" applyBorder="1" applyAlignment="1"/>
    <xf numFmtId="43" fontId="24" fillId="0" borderId="17" xfId="4" applyNumberFormat="1" applyFont="1" applyFill="1" applyBorder="1" applyAlignment="1"/>
    <xf numFmtId="43" fontId="24" fillId="0" borderId="18" xfId="4" applyNumberFormat="1" applyFont="1" applyFill="1" applyBorder="1" applyAlignment="1"/>
    <xf numFmtId="43" fontId="21" fillId="0" borderId="15" xfId="4" applyNumberFormat="1" applyFont="1" applyFill="1" applyBorder="1" applyAlignment="1">
      <alignment horizontal="right"/>
    </xf>
    <xf numFmtId="43" fontId="26" fillId="0" borderId="15" xfId="4" applyNumberFormat="1" applyFont="1" applyFill="1" applyBorder="1" applyAlignment="1">
      <alignment horizontal="right"/>
    </xf>
    <xf numFmtId="43" fontId="21" fillId="0" borderId="18" xfId="4" applyNumberFormat="1" applyFont="1" applyFill="1" applyBorder="1" applyAlignment="1">
      <alignment horizontal="right"/>
    </xf>
    <xf numFmtId="43" fontId="21" fillId="0" borderId="20" xfId="4" applyNumberFormat="1" applyFont="1" applyFill="1" applyBorder="1" applyAlignment="1">
      <alignment horizontal="right"/>
    </xf>
    <xf numFmtId="43" fontId="21" fillId="0" borderId="21" xfId="4" applyNumberFormat="1" applyFont="1" applyFill="1" applyBorder="1" applyAlignment="1">
      <alignment horizontal="right"/>
    </xf>
    <xf numFmtId="43" fontId="21" fillId="0" borderId="22" xfId="4" applyNumberFormat="1" applyFont="1" applyFill="1" applyBorder="1" applyAlignment="1">
      <alignment horizontal="right"/>
    </xf>
    <xf numFmtId="43" fontId="19" fillId="0" borderId="23" xfId="4" applyNumberFormat="1" applyFont="1" applyFill="1" applyBorder="1" applyAlignment="1">
      <alignment horizontal="right"/>
    </xf>
    <xf numFmtId="43" fontId="21" fillId="0" borderId="32" xfId="4" applyNumberFormat="1" applyFont="1" applyFill="1" applyBorder="1" applyAlignment="1">
      <alignment horizontal="right"/>
    </xf>
    <xf numFmtId="43" fontId="21" fillId="0" borderId="33" xfId="4" applyNumberFormat="1" applyFont="1" applyFill="1" applyBorder="1" applyAlignment="1">
      <alignment horizontal="right"/>
    </xf>
    <xf numFmtId="43" fontId="19" fillId="0" borderId="26" xfId="4" applyNumberFormat="1" applyFont="1" applyFill="1" applyBorder="1" applyAlignment="1">
      <alignment horizontal="right"/>
    </xf>
    <xf numFmtId="43" fontId="21" fillId="0" borderId="14" xfId="4" applyNumberFormat="1" applyFont="1" applyFill="1" applyBorder="1" applyAlignment="1">
      <alignment horizontal="right"/>
    </xf>
    <xf numFmtId="43" fontId="19" fillId="0" borderId="28" xfId="4" applyNumberFormat="1" applyFont="1" applyFill="1" applyBorder="1" applyAlignment="1">
      <alignment horizontal="right"/>
    </xf>
    <xf numFmtId="43" fontId="38" fillId="0" borderId="14" xfId="4" applyNumberFormat="1" applyFont="1" applyFill="1" applyBorder="1" applyAlignment="1">
      <alignment horizontal="right"/>
    </xf>
    <xf numFmtId="43" fontId="21" fillId="0" borderId="34" xfId="4" applyNumberFormat="1" applyFont="1" applyFill="1" applyBorder="1" applyAlignment="1">
      <alignment horizontal="right"/>
    </xf>
    <xf numFmtId="43" fontId="21" fillId="0" borderId="35" xfId="4" applyNumberFormat="1" applyFont="1" applyFill="1" applyBorder="1" applyAlignment="1">
      <alignment horizontal="right"/>
    </xf>
    <xf numFmtId="43" fontId="19" fillId="0" borderId="31" xfId="4" applyNumberFormat="1" applyFont="1" applyFill="1" applyBorder="1" applyAlignment="1">
      <alignment horizontal="right"/>
    </xf>
    <xf numFmtId="43" fontId="22" fillId="0" borderId="14" xfId="4" applyNumberFormat="1" applyFont="1" applyFill="1" applyBorder="1" applyAlignment="1">
      <alignment horizontal="right"/>
    </xf>
    <xf numFmtId="0" fontId="5" fillId="3" borderId="43" xfId="0" applyFont="1" applyFill="1" applyBorder="1" applyAlignment="1">
      <alignment horizontal="center" vertical="center"/>
    </xf>
    <xf numFmtId="0" fontId="9" fillId="2" borderId="44" xfId="0" applyFont="1" applyFill="1" applyBorder="1" applyAlignment="1">
      <alignment horizontal="center"/>
    </xf>
    <xf numFmtId="0" fontId="9" fillId="2" borderId="45" xfId="0" applyFont="1" applyFill="1" applyBorder="1" applyAlignment="1">
      <alignment horizontal="center"/>
    </xf>
    <xf numFmtId="0" fontId="17" fillId="0" borderId="44" xfId="0" applyFont="1" applyBorder="1" applyAlignment="1">
      <alignment horizontal="center" vertical="center"/>
    </xf>
    <xf numFmtId="0" fontId="17" fillId="0" borderId="46" xfId="0" applyFont="1" applyBorder="1" applyAlignment="1">
      <alignment horizontal="center" vertical="center"/>
    </xf>
    <xf numFmtId="0" fontId="33" fillId="5" borderId="44" xfId="0" applyFont="1" applyFill="1" applyBorder="1" applyAlignment="1">
      <alignment horizontal="center" vertical="center"/>
    </xf>
    <xf numFmtId="0" fontId="41" fillId="5" borderId="45" xfId="8" applyFont="1" applyFill="1" applyBorder="1" applyAlignment="1">
      <alignment horizontal="center" vertical="center"/>
    </xf>
    <xf numFmtId="0" fontId="0" fillId="0" borderId="44" xfId="0" applyBorder="1" applyAlignment="1">
      <alignment horizontal="right"/>
    </xf>
    <xf numFmtId="4" fontId="0" fillId="0" borderId="45" xfId="0" applyNumberFormat="1" applyBorder="1"/>
    <xf numFmtId="4" fontId="0" fillId="2" borderId="45" xfId="4" applyNumberFormat="1" applyFont="1" applyFill="1" applyBorder="1"/>
    <xf numFmtId="43" fontId="0" fillId="2" borderId="45" xfId="4" applyNumberFormat="1" applyFont="1" applyFill="1" applyBorder="1"/>
    <xf numFmtId="0" fontId="45" fillId="13" borderId="44" xfId="0" applyFont="1" applyFill="1" applyBorder="1" applyAlignment="1">
      <alignment horizontal="right"/>
    </xf>
    <xf numFmtId="43" fontId="40" fillId="13" borderId="45" xfId="7" applyFont="1" applyFill="1" applyBorder="1" applyAlignment="1"/>
    <xf numFmtId="0" fontId="5" fillId="0" borderId="44" xfId="0" applyFont="1" applyBorder="1" applyAlignment="1">
      <alignment horizontal="right"/>
    </xf>
    <xf numFmtId="44" fontId="5" fillId="0" borderId="45" xfId="1" applyFont="1" applyFill="1" applyBorder="1"/>
    <xf numFmtId="9" fontId="6" fillId="2" borderId="45" xfId="2" applyFont="1" applyFill="1" applyBorder="1" applyAlignment="1"/>
    <xf numFmtId="9" fontId="2" fillId="13" borderId="45" xfId="2" applyFont="1" applyFill="1" applyBorder="1" applyAlignment="1"/>
    <xf numFmtId="0" fontId="8" fillId="0" borderId="44" xfId="0" applyFont="1" applyBorder="1" applyAlignment="1">
      <alignment horizontal="right"/>
    </xf>
    <xf numFmtId="8" fontId="13" fillId="0" borderId="45" xfId="1" applyNumberFormat="1" applyFont="1" applyFill="1" applyBorder="1"/>
    <xf numFmtId="0" fontId="6" fillId="0" borderId="44" xfId="0" applyFont="1" applyBorder="1" applyAlignment="1">
      <alignment horizontal="right"/>
    </xf>
    <xf numFmtId="43" fontId="6" fillId="0" borderId="45" xfId="1" applyNumberFormat="1" applyFont="1" applyFill="1" applyBorder="1"/>
    <xf numFmtId="0" fontId="7" fillId="0" borderId="44" xfId="0" applyFont="1" applyBorder="1" applyAlignment="1">
      <alignment horizontal="right"/>
    </xf>
    <xf numFmtId="8" fontId="39" fillId="0" borderId="45" xfId="1" applyNumberFormat="1" applyFont="1" applyFill="1" applyBorder="1"/>
    <xf numFmtId="166" fontId="45" fillId="13" borderId="44" xfId="0" applyNumberFormat="1" applyFont="1" applyFill="1" applyBorder="1" applyAlignment="1">
      <alignment horizontal="right"/>
    </xf>
    <xf numFmtId="0" fontId="5" fillId="3" borderId="45" xfId="0" applyFont="1" applyFill="1" applyBorder="1" applyAlignment="1">
      <alignment horizontal="center" vertical="center"/>
    </xf>
    <xf numFmtId="0" fontId="7" fillId="0" borderId="44" xfId="0" applyFont="1" applyBorder="1"/>
    <xf numFmtId="0" fontId="7" fillId="0" borderId="45" xfId="0" applyFont="1" applyBorder="1"/>
    <xf numFmtId="0" fontId="0" fillId="6" borderId="47" xfId="0" applyFill="1" applyBorder="1" applyAlignment="1">
      <alignment horizontal="right"/>
    </xf>
    <xf numFmtId="43" fontId="0" fillId="6" borderId="48" xfId="7" applyFont="1" applyFill="1" applyBorder="1"/>
    <xf numFmtId="43" fontId="0" fillId="2" borderId="45" xfId="7" applyFont="1" applyFill="1" applyBorder="1"/>
    <xf numFmtId="0" fontId="0" fillId="6" borderId="44" xfId="0" applyFill="1" applyBorder="1" applyAlignment="1">
      <alignment horizontal="right"/>
    </xf>
    <xf numFmtId="43" fontId="0" fillId="6" borderId="45" xfId="7" applyFont="1" applyFill="1" applyBorder="1"/>
    <xf numFmtId="0" fontId="2" fillId="4" borderId="49" xfId="0" applyFont="1" applyFill="1" applyBorder="1" applyAlignment="1">
      <alignment horizontal="right"/>
    </xf>
    <xf numFmtId="43" fontId="0" fillId="4" borderId="50" xfId="7" applyFont="1" applyFill="1" applyBorder="1"/>
    <xf numFmtId="44" fontId="7" fillId="0" borderId="0" xfId="1" applyFont="1" applyFill="1" applyBorder="1"/>
    <xf numFmtId="44" fontId="7" fillId="0" borderId="45" xfId="1" applyFont="1" applyFill="1" applyBorder="1"/>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8" fillId="0" borderId="44" xfId="0" applyFont="1" applyBorder="1" applyAlignment="1">
      <alignment horizontal="center"/>
    </xf>
    <xf numFmtId="0" fontId="8" fillId="0" borderId="0" xfId="0" applyFont="1" applyAlignment="1">
      <alignment horizontal="center"/>
    </xf>
    <xf numFmtId="0" fontId="8" fillId="0" borderId="45" xfId="0" applyFont="1" applyBorder="1" applyAlignment="1">
      <alignment horizontal="center"/>
    </xf>
    <xf numFmtId="166" fontId="40" fillId="13" borderId="45" xfId="7" applyNumberFormat="1" applyFont="1" applyFill="1" applyBorder="1" applyAlignment="1"/>
    <xf numFmtId="166" fontId="2" fillId="0" borderId="44" xfId="0" applyNumberFormat="1" applyFont="1" applyBorder="1" applyAlignment="1">
      <alignment horizontal="center"/>
    </xf>
    <xf numFmtId="166" fontId="2" fillId="0" borderId="45" xfId="1" applyNumberFormat="1" applyFont="1" applyFill="1" applyBorder="1"/>
    <xf numFmtId="8" fontId="5" fillId="0" borderId="0" xfId="1" applyNumberFormat="1" applyFont="1" applyFill="1" applyBorder="1"/>
    <xf numFmtId="8" fontId="5" fillId="0" borderId="0" xfId="0" applyNumberFormat="1" applyFont="1"/>
    <xf numFmtId="8" fontId="5" fillId="0" borderId="45" xfId="1" applyNumberFormat="1" applyFont="1" applyFill="1" applyBorder="1"/>
    <xf numFmtId="0" fontId="2" fillId="0" borderId="44" xfId="0" applyFont="1" applyBorder="1" applyAlignment="1">
      <alignment horizontal="right"/>
    </xf>
    <xf numFmtId="8" fontId="2" fillId="0" borderId="0" xfId="1" applyNumberFormat="1" applyFont="1" applyFill="1" applyBorder="1"/>
    <xf numFmtId="8" fontId="2" fillId="0" borderId="45" xfId="1" applyNumberFormat="1" applyFont="1" applyFill="1" applyBorder="1"/>
    <xf numFmtId="0" fontId="0" fillId="2" borderId="44" xfId="0" applyFill="1" applyBorder="1" applyAlignment="1">
      <alignment horizontal="right"/>
    </xf>
    <xf numFmtId="43" fontId="0" fillId="2" borderId="0" xfId="1" applyNumberFormat="1" applyFont="1" applyFill="1" applyBorder="1"/>
    <xf numFmtId="43" fontId="0" fillId="2" borderId="0" xfId="0" applyNumberFormat="1" applyFill="1"/>
    <xf numFmtId="43" fontId="0" fillId="2" borderId="45" xfId="1" applyNumberFormat="1" applyFont="1" applyFill="1" applyBorder="1"/>
    <xf numFmtId="8" fontId="0" fillId="2" borderId="0" xfId="1" applyNumberFormat="1" applyFont="1" applyFill="1" applyBorder="1"/>
    <xf numFmtId="8" fontId="0" fillId="2" borderId="0" xfId="0" applyNumberFormat="1" applyFill="1"/>
    <xf numFmtId="8" fontId="0" fillId="2" borderId="45" xfId="1" applyNumberFormat="1" applyFont="1" applyFill="1" applyBorder="1"/>
    <xf numFmtId="0" fontId="2" fillId="2" borderId="44" xfId="0" applyFont="1" applyFill="1" applyBorder="1" applyAlignment="1">
      <alignment horizontal="right"/>
    </xf>
    <xf numFmtId="8" fontId="2" fillId="2" borderId="0" xfId="1" applyNumberFormat="1" applyFont="1" applyFill="1" applyBorder="1"/>
    <xf numFmtId="8" fontId="2" fillId="2" borderId="45" xfId="1" applyNumberFormat="1" applyFont="1" applyFill="1" applyBorder="1"/>
    <xf numFmtId="4" fontId="40" fillId="13" borderId="45" xfId="7" applyNumberFormat="1" applyFont="1" applyFill="1" applyBorder="1" applyAlignment="1"/>
    <xf numFmtId="0" fontId="0" fillId="0" borderId="44" xfId="0" applyBorder="1"/>
    <xf numFmtId="4" fontId="0" fillId="0" borderId="45" xfId="1" applyNumberFormat="1" applyFont="1" applyBorder="1"/>
    <xf numFmtId="8" fontId="7" fillId="0" borderId="0" xfId="1" applyNumberFormat="1" applyFont="1" applyFill="1" applyBorder="1"/>
    <xf numFmtId="8" fontId="7" fillId="0" borderId="0" xfId="0" applyNumberFormat="1" applyFont="1"/>
    <xf numFmtId="8" fontId="7" fillId="0" borderId="45" xfId="1" applyNumberFormat="1" applyFont="1" applyFill="1" applyBorder="1"/>
    <xf numFmtId="8" fontId="0" fillId="0" borderId="0" xfId="1" applyNumberFormat="1" applyFont="1" applyFill="1" applyBorder="1"/>
    <xf numFmtId="8" fontId="0" fillId="0" borderId="0" xfId="0" applyNumberFormat="1"/>
    <xf numFmtId="8" fontId="0" fillId="0" borderId="45" xfId="1" applyNumberFormat="1" applyFont="1" applyFill="1" applyBorder="1"/>
    <xf numFmtId="43" fontId="0" fillId="0" borderId="44" xfId="0" applyNumberFormat="1" applyBorder="1" applyAlignment="1">
      <alignment horizontal="right"/>
    </xf>
    <xf numFmtId="43" fontId="0" fillId="0" borderId="45" xfId="1" applyNumberFormat="1" applyFont="1" applyFill="1" applyBorder="1"/>
    <xf numFmtId="0" fontId="11" fillId="0" borderId="44" xfId="0" applyFont="1" applyBorder="1" applyAlignment="1">
      <alignment horizontal="right"/>
    </xf>
    <xf numFmtId="8" fontId="10" fillId="0" borderId="0" xfId="0" applyNumberFormat="1" applyFont="1"/>
    <xf numFmtId="8" fontId="10" fillId="0" borderId="45" xfId="0" applyNumberFormat="1" applyFont="1" applyBorder="1"/>
    <xf numFmtId="0" fontId="42" fillId="0" borderId="44" xfId="0" applyFont="1" applyBorder="1" applyAlignment="1">
      <alignment horizontal="right"/>
    </xf>
    <xf numFmtId="43" fontId="0" fillId="0" borderId="45" xfId="1" applyNumberFormat="1" applyFont="1" applyBorder="1"/>
    <xf numFmtId="8" fontId="0" fillId="0" borderId="45" xfId="1" applyNumberFormat="1" applyFont="1" applyBorder="1"/>
    <xf numFmtId="43" fontId="6" fillId="0" borderId="0" xfId="0" applyNumberFormat="1" applyFont="1"/>
    <xf numFmtId="43" fontId="6" fillId="0" borderId="45" xfId="1" applyNumberFormat="1" applyFont="1" applyBorder="1"/>
    <xf numFmtId="0" fontId="47" fillId="0" borderId="44" xfId="0" applyFont="1" applyBorder="1" applyAlignment="1">
      <alignment horizontal="right"/>
    </xf>
    <xf numFmtId="0" fontId="46" fillId="7" borderId="51" xfId="0" applyFont="1" applyFill="1" applyBorder="1" applyAlignment="1">
      <alignment horizontal="right"/>
    </xf>
    <xf numFmtId="43" fontId="33" fillId="7" borderId="52" xfId="7" applyFont="1" applyFill="1" applyBorder="1"/>
    <xf numFmtId="0" fontId="5" fillId="0" borderId="44" xfId="0" applyFont="1" applyBorder="1"/>
    <xf numFmtId="8" fontId="12" fillId="0" borderId="45" xfId="1" applyNumberFormat="1" applyFont="1" applyBorder="1"/>
    <xf numFmtId="8" fontId="43" fillId="0" borderId="45" xfId="1" applyNumberFormat="1" applyFont="1" applyBorder="1"/>
    <xf numFmtId="0" fontId="5" fillId="0" borderId="53" xfId="0" applyFont="1" applyBorder="1"/>
    <xf numFmtId="44" fontId="7" fillId="0" borderId="54" xfId="1" applyFont="1" applyBorder="1"/>
    <xf numFmtId="0" fontId="7" fillId="0" borderId="54" xfId="0" applyFont="1" applyBorder="1"/>
    <xf numFmtId="44" fontId="7" fillId="0" borderId="55" xfId="1" applyFont="1" applyBorder="1"/>
    <xf numFmtId="0" fontId="5" fillId="3" borderId="44" xfId="0" applyFont="1" applyFill="1" applyBorder="1" applyAlignment="1">
      <alignment horizontal="center" vertical="center"/>
    </xf>
    <xf numFmtId="0" fontId="5" fillId="3" borderId="0" xfId="0" applyFont="1" applyFill="1" applyAlignment="1">
      <alignment horizontal="center" vertical="center"/>
    </xf>
    <xf numFmtId="0" fontId="5" fillId="3" borderId="41" xfId="0" applyFont="1" applyFill="1" applyBorder="1" applyAlignment="1">
      <alignment horizontal="center" vertical="center"/>
    </xf>
    <xf numFmtId="0" fontId="5" fillId="3" borderId="42" xfId="0" applyFont="1" applyFill="1" applyBorder="1" applyAlignment="1">
      <alignment horizontal="center" vertical="center"/>
    </xf>
    <xf numFmtId="0" fontId="0" fillId="8" borderId="0" xfId="0" applyFill="1" applyAlignment="1">
      <alignment horizontal="center"/>
    </xf>
    <xf numFmtId="0" fontId="15" fillId="8" borderId="0" xfId="3" applyFont="1" applyFill="1" applyAlignment="1">
      <alignment horizontal="center" vertical="center"/>
    </xf>
    <xf numFmtId="0" fontId="16" fillId="8" borderId="0" xfId="3" applyFont="1" applyFill="1" applyAlignment="1">
      <alignment horizontal="center"/>
    </xf>
    <xf numFmtId="0" fontId="36" fillId="5" borderId="0" xfId="0" applyFont="1" applyFill="1" applyAlignment="1">
      <alignment horizontal="center" vertical="center"/>
    </xf>
    <xf numFmtId="0" fontId="18" fillId="10" borderId="6" xfId="0" applyFont="1" applyFill="1" applyBorder="1" applyAlignment="1">
      <alignment horizontal="center" vertical="center"/>
    </xf>
    <xf numFmtId="0" fontId="18" fillId="10" borderId="7" xfId="0" applyFont="1" applyFill="1" applyBorder="1" applyAlignment="1">
      <alignment horizontal="center" vertical="center"/>
    </xf>
    <xf numFmtId="43" fontId="25" fillId="0" borderId="15" xfId="4" applyNumberFormat="1" applyFont="1" applyFill="1" applyBorder="1" applyAlignment="1">
      <alignment horizontal="center" wrapText="1"/>
    </xf>
    <xf numFmtId="0" fontId="21" fillId="11" borderId="27" xfId="0" applyFont="1" applyFill="1" applyBorder="1" applyAlignment="1">
      <alignment horizontal="left" wrapText="1"/>
    </xf>
    <xf numFmtId="0" fontId="21" fillId="11" borderId="0" xfId="0" applyFont="1" applyFill="1" applyAlignment="1">
      <alignment horizontal="left" wrapText="1"/>
    </xf>
    <xf numFmtId="0" fontId="21" fillId="11" borderId="28" xfId="0" applyFont="1" applyFill="1" applyBorder="1" applyAlignment="1">
      <alignment horizontal="left" wrapText="1"/>
    </xf>
    <xf numFmtId="0" fontId="21" fillId="11" borderId="29" xfId="0" applyFont="1" applyFill="1" applyBorder="1" applyAlignment="1">
      <alignment horizontal="center"/>
    </xf>
    <xf numFmtId="0" fontId="21" fillId="11" borderId="30" xfId="0" applyFont="1" applyFill="1" applyBorder="1" applyAlignment="1">
      <alignment horizontal="center"/>
    </xf>
    <xf numFmtId="0" fontId="21" fillId="11" borderId="31" xfId="0" applyFont="1" applyFill="1" applyBorder="1" applyAlignment="1">
      <alignment horizontal="center"/>
    </xf>
    <xf numFmtId="0" fontId="21" fillId="11" borderId="27" xfId="0" applyFont="1" applyFill="1" applyBorder="1" applyAlignment="1">
      <alignment horizontal="center" wrapText="1"/>
    </xf>
    <xf numFmtId="0" fontId="21" fillId="11" borderId="0" xfId="0" applyFont="1" applyFill="1" applyAlignment="1">
      <alignment horizontal="center" wrapText="1"/>
    </xf>
    <xf numFmtId="0" fontId="21" fillId="11" borderId="28" xfId="0" applyFont="1" applyFill="1" applyBorder="1" applyAlignment="1">
      <alignment horizontal="center" wrapText="1"/>
    </xf>
    <xf numFmtId="0" fontId="48" fillId="11" borderId="24" xfId="0" applyFont="1" applyFill="1" applyBorder="1" applyAlignment="1">
      <alignment horizontal="left" wrapText="1"/>
    </xf>
    <xf numFmtId="0" fontId="48" fillId="11" borderId="25" xfId="0" applyFont="1" applyFill="1" applyBorder="1" applyAlignment="1">
      <alignment horizontal="left" wrapText="1"/>
    </xf>
    <xf numFmtId="0" fontId="48" fillId="11" borderId="26" xfId="0" applyFont="1" applyFill="1" applyBorder="1" applyAlignment="1">
      <alignment horizontal="left" wrapText="1"/>
    </xf>
    <xf numFmtId="0" fontId="27" fillId="12" borderId="0" xfId="0" applyFont="1" applyFill="1" applyAlignment="1">
      <alignment horizontal="center" vertical="top"/>
    </xf>
    <xf numFmtId="0" fontId="28" fillId="12" borderId="0" xfId="0" applyFont="1" applyFill="1" applyAlignment="1">
      <alignment horizontal="center" vertical="top"/>
    </xf>
    <xf numFmtId="0" fontId="29" fillId="12" borderId="0" xfId="0" applyFont="1" applyFill="1" applyAlignment="1">
      <alignment horizontal="center" vertical="top"/>
    </xf>
  </cellXfs>
  <cellStyles count="9">
    <cellStyle name="Comma" xfId="7" builtinId="3"/>
    <cellStyle name="Currency" xfId="1" builtinId="4"/>
    <cellStyle name="Hyperlink" xfId="8" builtinId="8"/>
    <cellStyle name="Moeda 2" xfId="4" xr:uid="{00000000-0005-0000-0000-000001000000}"/>
    <cellStyle name="Normal" xfId="0" builtinId="0"/>
    <cellStyle name="Normal 2" xfId="3" xr:uid="{00000000-0005-0000-0000-000003000000}"/>
    <cellStyle name="Normal 3" xfId="6" xr:uid="{00000000-0005-0000-0000-000004000000}"/>
    <cellStyle name="Normal 72" xfId="5" xr:uid="{00000000-0005-0000-0000-000005000000}"/>
    <cellStyle name="Percent" xfId="2" builtinId="5"/>
  </cellStyles>
  <dxfs count="0"/>
  <tableStyles count="0" defaultTableStyle="TableStyleMedium2" defaultPivotStyle="PivotStyleLight16"/>
  <colors>
    <mruColors>
      <color rgb="FF7A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71436</xdr:colOff>
      <xdr:row>2</xdr:row>
      <xdr:rowOff>972</xdr:rowOff>
    </xdr:from>
    <xdr:to>
      <xdr:col>1</xdr:col>
      <xdr:colOff>1714500</xdr:colOff>
      <xdr:row>6</xdr:row>
      <xdr:rowOff>42485</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4796" y="412452"/>
          <a:ext cx="1643064" cy="89495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3735</xdr:colOff>
      <xdr:row>1</xdr:row>
      <xdr:rowOff>76540</xdr:rowOff>
    </xdr:from>
    <xdr:to>
      <xdr:col>1</xdr:col>
      <xdr:colOff>1752797</xdr:colOff>
      <xdr:row>5</xdr:row>
      <xdr:rowOff>140690</xdr:rowOff>
    </xdr:to>
    <xdr:pic>
      <xdr:nvPicPr>
        <xdr:cNvPr id="58" name="Imagem 57">
          <a:extLst>
            <a:ext uri="{FF2B5EF4-FFF2-40B4-BE49-F238E27FC236}">
              <a16:creationId xmlns:a16="http://schemas.microsoft.com/office/drawing/2014/main" id="{00000000-0008-0000-0F00-00003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80" y="161585"/>
          <a:ext cx="1749062" cy="863569"/>
        </a:xfrm>
        <a:prstGeom prst="rect">
          <a:avLst/>
        </a:prstGeom>
        <a:noFill/>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fitToPage="1"/>
  </sheetPr>
  <dimension ref="A2:O22"/>
  <sheetViews>
    <sheetView showGridLines="0" zoomScale="80" zoomScaleNormal="80" workbookViewId="0">
      <pane xSplit="1" topLeftCell="B1" activePane="topRight" state="frozen"/>
      <selection pane="topRight" activeCell="D38" sqref="D38"/>
    </sheetView>
  </sheetViews>
  <sheetFormatPr baseColWidth="10" defaultColWidth="9.1640625" defaultRowHeight="15" x14ac:dyDescent="0.2"/>
  <cols>
    <col min="1" max="1" width="3.1640625" customWidth="1"/>
    <col min="2" max="2" width="46.1640625" customWidth="1"/>
    <col min="3" max="15" width="18" customWidth="1"/>
  </cols>
  <sheetData>
    <row r="2" spans="1:15" ht="15" customHeight="1" x14ac:dyDescent="0.2">
      <c r="B2" s="223" t="str">
        <f>'Acomp. Resultados_2026'!B5:AA5</f>
        <v>NOME DA EMPRESA</v>
      </c>
      <c r="C2" s="223"/>
      <c r="D2" s="223"/>
      <c r="E2" s="223"/>
      <c r="F2" s="223"/>
      <c r="G2" s="223"/>
      <c r="H2" s="223"/>
      <c r="I2" s="223"/>
      <c r="J2" s="223"/>
      <c r="K2" s="223"/>
      <c r="L2" s="223"/>
      <c r="M2" s="223"/>
      <c r="N2" s="223"/>
      <c r="O2" s="223"/>
    </row>
    <row r="3" spans="1:15" ht="7.5" customHeight="1" x14ac:dyDescent="0.2">
      <c r="B3" s="223"/>
      <c r="C3" s="223"/>
      <c r="D3" s="223"/>
      <c r="E3" s="223"/>
      <c r="F3" s="223"/>
      <c r="G3" s="223"/>
      <c r="H3" s="223"/>
      <c r="I3" s="223"/>
      <c r="J3" s="223"/>
      <c r="K3" s="223"/>
      <c r="L3" s="223"/>
      <c r="M3" s="223"/>
      <c r="N3" s="223"/>
      <c r="O3" s="223"/>
    </row>
    <row r="4" spans="1:15" ht="12" customHeight="1" x14ac:dyDescent="0.2"/>
    <row r="5" spans="1:15" ht="22.5" customHeight="1" x14ac:dyDescent="0.2">
      <c r="B5" s="217" t="s">
        <v>101</v>
      </c>
      <c r="C5" s="217"/>
      <c r="D5" s="217"/>
      <c r="E5" s="217"/>
      <c r="F5" s="217"/>
      <c r="G5" s="217"/>
      <c r="H5" s="217"/>
      <c r="I5" s="217"/>
      <c r="J5" s="217"/>
      <c r="K5" s="217"/>
      <c r="L5" s="217"/>
      <c r="M5" s="217"/>
      <c r="N5" s="217"/>
      <c r="O5" s="217"/>
    </row>
    <row r="6" spans="1:15" ht="7.5" customHeight="1" x14ac:dyDescent="0.2">
      <c r="B6" s="6"/>
      <c r="C6" s="6"/>
      <c r="D6" s="6"/>
      <c r="E6" s="6"/>
      <c r="F6" s="6"/>
    </row>
    <row r="7" spans="1:15" x14ac:dyDescent="0.2">
      <c r="B7" s="52"/>
      <c r="C7" s="52" t="s">
        <v>5</v>
      </c>
      <c r="D7" s="52" t="s">
        <v>6</v>
      </c>
      <c r="E7" s="52" t="s">
        <v>7</v>
      </c>
      <c r="F7" s="52" t="s">
        <v>8</v>
      </c>
      <c r="G7" s="52" t="s">
        <v>9</v>
      </c>
      <c r="H7" s="52" t="s">
        <v>10</v>
      </c>
      <c r="I7" s="52" t="s">
        <v>11</v>
      </c>
      <c r="J7" s="52" t="s">
        <v>12</v>
      </c>
      <c r="K7" s="52" t="s">
        <v>13</v>
      </c>
      <c r="L7" s="52" t="s">
        <v>14</v>
      </c>
      <c r="M7" s="52" t="s">
        <v>15</v>
      </c>
      <c r="N7" s="52" t="s">
        <v>16</v>
      </c>
      <c r="O7" s="53" t="s">
        <v>37</v>
      </c>
    </row>
    <row r="8" spans="1:15" ht="6.75" customHeight="1" x14ac:dyDescent="0.2">
      <c r="B8" s="54"/>
      <c r="C8" s="54"/>
      <c r="D8" s="54"/>
      <c r="E8" s="54"/>
      <c r="F8" s="54"/>
    </row>
    <row r="9" spans="1:15" x14ac:dyDescent="0.2">
      <c r="B9" s="55" t="s">
        <v>56</v>
      </c>
      <c r="C9" s="56"/>
      <c r="D9" s="56"/>
      <c r="E9" s="56"/>
      <c r="F9" s="56"/>
    </row>
    <row r="10" spans="1:15" s="1" customFormat="1" ht="16" x14ac:dyDescent="0.2">
      <c r="A10" s="50">
        <v>6250</v>
      </c>
      <c r="B10" s="57" t="s">
        <v>22</v>
      </c>
      <c r="C10" s="58"/>
      <c r="D10" s="58"/>
      <c r="E10" s="58"/>
      <c r="F10" s="58"/>
      <c r="G10" s="58"/>
      <c r="H10" s="58"/>
      <c r="I10" s="58"/>
      <c r="J10" s="58"/>
      <c r="K10" s="58"/>
      <c r="L10" s="58"/>
      <c r="M10" s="58"/>
      <c r="N10" s="58"/>
      <c r="O10" s="3">
        <f>SUM(C10:N10)</f>
        <v>0</v>
      </c>
    </row>
    <row r="11" spans="1:15" s="1" customFormat="1" ht="16" x14ac:dyDescent="0.2">
      <c r="A11" s="50">
        <v>6109</v>
      </c>
      <c r="B11" s="57" t="s">
        <v>57</v>
      </c>
      <c r="C11" s="58"/>
      <c r="D11" s="58"/>
      <c r="E11" s="58"/>
      <c r="F11" s="58"/>
      <c r="G11" s="58"/>
      <c r="H11" s="58"/>
      <c r="I11" s="58"/>
      <c r="J11" s="58"/>
      <c r="K11" s="58"/>
      <c r="L11" s="58"/>
      <c r="M11" s="58"/>
      <c r="N11" s="58"/>
      <c r="O11" s="3">
        <f t="shared" ref="O11:O15" si="0">SUM(C11:N11)</f>
        <v>0</v>
      </c>
    </row>
    <row r="12" spans="1:15" s="1" customFormat="1" ht="16" x14ac:dyDescent="0.2">
      <c r="A12" s="50">
        <v>3325</v>
      </c>
      <c r="B12" s="57" t="s">
        <v>55</v>
      </c>
      <c r="C12" s="58"/>
      <c r="D12" s="58"/>
      <c r="E12" s="58"/>
      <c r="F12" s="58"/>
      <c r="G12" s="58"/>
      <c r="H12" s="58"/>
      <c r="I12" s="58"/>
      <c r="J12" s="58"/>
      <c r="K12" s="58"/>
      <c r="L12" s="58"/>
      <c r="M12" s="58"/>
      <c r="N12" s="58"/>
      <c r="O12" s="3">
        <f t="shared" si="0"/>
        <v>0</v>
      </c>
    </row>
    <row r="13" spans="1:15" s="1" customFormat="1" ht="16" x14ac:dyDescent="0.2">
      <c r="A13" s="50">
        <v>6257</v>
      </c>
      <c r="B13" s="57" t="s">
        <v>54</v>
      </c>
      <c r="C13" s="58"/>
      <c r="D13" s="58"/>
      <c r="E13" s="58"/>
      <c r="F13" s="58"/>
      <c r="G13" s="58"/>
      <c r="H13" s="58"/>
      <c r="I13" s="58"/>
      <c r="J13" s="58"/>
      <c r="K13" s="58"/>
      <c r="L13" s="58"/>
      <c r="M13" s="58"/>
      <c r="N13" s="58"/>
      <c r="O13" s="3">
        <f t="shared" si="0"/>
        <v>0</v>
      </c>
    </row>
    <row r="14" spans="1:15" s="1" customFormat="1" x14ac:dyDescent="0.2">
      <c r="A14" s="59">
        <v>6119</v>
      </c>
      <c r="B14" s="57" t="s">
        <v>58</v>
      </c>
      <c r="C14" s="58"/>
      <c r="D14" s="58"/>
      <c r="E14" s="58"/>
      <c r="F14" s="58"/>
      <c r="G14" s="58"/>
      <c r="H14" s="58"/>
      <c r="I14" s="58"/>
      <c r="J14" s="58"/>
      <c r="K14" s="58"/>
      <c r="L14" s="58"/>
      <c r="M14" s="58"/>
      <c r="N14" s="58"/>
      <c r="O14" s="3">
        <f t="shared" si="0"/>
        <v>0</v>
      </c>
    </row>
    <row r="15" spans="1:15" s="1" customFormat="1" x14ac:dyDescent="0.2">
      <c r="B15" s="57" t="s">
        <v>59</v>
      </c>
      <c r="C15" s="58"/>
      <c r="D15" s="58"/>
      <c r="E15" s="58"/>
      <c r="F15" s="58"/>
      <c r="G15" s="58"/>
      <c r="H15" s="58"/>
      <c r="I15" s="58"/>
      <c r="J15" s="58"/>
      <c r="K15" s="58"/>
      <c r="L15" s="58"/>
      <c r="M15" s="58"/>
      <c r="N15" s="58"/>
      <c r="O15" s="3">
        <f t="shared" si="0"/>
        <v>0</v>
      </c>
    </row>
    <row r="16" spans="1:15" x14ac:dyDescent="0.2">
      <c r="B16" s="55" t="s">
        <v>38</v>
      </c>
      <c r="C16" s="60">
        <f>C10+C11+C13+C15</f>
        <v>0</v>
      </c>
      <c r="D16" s="60">
        <f t="shared" ref="D16:E16" si="1">D10+D11+D13+D15</f>
        <v>0</v>
      </c>
      <c r="E16" s="60">
        <f t="shared" si="1"/>
        <v>0</v>
      </c>
      <c r="F16" s="60">
        <f>SUM(F10:F15)</f>
        <v>0</v>
      </c>
      <c r="G16" s="60">
        <f t="shared" ref="G16:N16" si="2">SUM(G10:G15)</f>
        <v>0</v>
      </c>
      <c r="H16" s="60">
        <f t="shared" si="2"/>
        <v>0</v>
      </c>
      <c r="I16" s="60">
        <f t="shared" si="2"/>
        <v>0</v>
      </c>
      <c r="J16" s="60">
        <f t="shared" si="2"/>
        <v>0</v>
      </c>
      <c r="K16" s="60">
        <f t="shared" si="2"/>
        <v>0</v>
      </c>
      <c r="L16" s="60">
        <f t="shared" si="2"/>
        <v>0</v>
      </c>
      <c r="M16" s="60">
        <f t="shared" si="2"/>
        <v>0</v>
      </c>
      <c r="N16" s="60">
        <f t="shared" si="2"/>
        <v>0</v>
      </c>
      <c r="O16" s="60">
        <f>SUM(O10:O15)</f>
        <v>0</v>
      </c>
    </row>
    <row r="17" spans="2:15" x14ac:dyDescent="0.2">
      <c r="B17" s="55"/>
      <c r="C17" s="56"/>
      <c r="D17" s="56"/>
      <c r="E17" s="56"/>
      <c r="F17" s="56"/>
    </row>
    <row r="18" spans="2:15" x14ac:dyDescent="0.2">
      <c r="B18" s="55" t="s">
        <v>60</v>
      </c>
      <c r="C18" s="56"/>
      <c r="D18" s="56"/>
      <c r="E18" s="56"/>
      <c r="F18" s="56"/>
    </row>
    <row r="19" spans="2:15" x14ac:dyDescent="0.2">
      <c r="B19" s="57" t="s">
        <v>61</v>
      </c>
      <c r="C19" s="58">
        <v>0</v>
      </c>
      <c r="D19" s="58">
        <f>C19</f>
        <v>0</v>
      </c>
      <c r="E19" s="58">
        <f t="shared" ref="E19:N19" si="3">D19</f>
        <v>0</v>
      </c>
      <c r="F19" s="58">
        <f t="shared" si="3"/>
        <v>0</v>
      </c>
      <c r="G19" s="58">
        <f t="shared" si="3"/>
        <v>0</v>
      </c>
      <c r="H19" s="58">
        <f t="shared" si="3"/>
        <v>0</v>
      </c>
      <c r="I19" s="58">
        <f t="shared" si="3"/>
        <v>0</v>
      </c>
      <c r="J19" s="58">
        <f t="shared" si="3"/>
        <v>0</v>
      </c>
      <c r="K19" s="58">
        <f t="shared" si="3"/>
        <v>0</v>
      </c>
      <c r="L19" s="58">
        <f t="shared" si="3"/>
        <v>0</v>
      </c>
      <c r="M19" s="58">
        <f t="shared" si="3"/>
        <v>0</v>
      </c>
      <c r="N19" s="58">
        <f t="shared" si="3"/>
        <v>0</v>
      </c>
      <c r="O19" s="3">
        <f>SUM(C19:N19)</f>
        <v>0</v>
      </c>
    </row>
    <row r="20" spans="2:15" x14ac:dyDescent="0.2">
      <c r="B20" s="55" t="s">
        <v>39</v>
      </c>
      <c r="C20" s="60">
        <f>C19</f>
        <v>0</v>
      </c>
      <c r="D20" s="60">
        <f t="shared" ref="D20:E20" si="4">D19</f>
        <v>0</v>
      </c>
      <c r="E20" s="60">
        <f t="shared" si="4"/>
        <v>0</v>
      </c>
      <c r="F20" s="60">
        <f>F19</f>
        <v>0</v>
      </c>
      <c r="G20" s="60">
        <f t="shared" ref="G20:N20" si="5">G19</f>
        <v>0</v>
      </c>
      <c r="H20" s="60">
        <f t="shared" si="5"/>
        <v>0</v>
      </c>
      <c r="I20" s="60">
        <f t="shared" si="5"/>
        <v>0</v>
      </c>
      <c r="J20" s="60">
        <f t="shared" si="5"/>
        <v>0</v>
      </c>
      <c r="K20" s="60">
        <f t="shared" si="5"/>
        <v>0</v>
      </c>
      <c r="L20" s="60">
        <f t="shared" si="5"/>
        <v>0</v>
      </c>
      <c r="M20" s="60">
        <f t="shared" si="5"/>
        <v>0</v>
      </c>
      <c r="N20" s="60">
        <f t="shared" si="5"/>
        <v>0</v>
      </c>
      <c r="O20" s="60">
        <f>O19</f>
        <v>0</v>
      </c>
    </row>
    <row r="21" spans="2:15" ht="16" thickBot="1" x14ac:dyDescent="0.25">
      <c r="B21" s="61"/>
      <c r="C21" s="61"/>
      <c r="D21" s="61"/>
      <c r="E21" s="61"/>
      <c r="F21" s="61"/>
      <c r="G21" s="61"/>
      <c r="H21" s="61"/>
      <c r="I21" s="61"/>
      <c r="J21" s="61"/>
      <c r="K21" s="61"/>
      <c r="L21" s="61"/>
      <c r="M21" s="61"/>
      <c r="N21" s="61"/>
      <c r="O21" s="61"/>
    </row>
    <row r="22" spans="2:15" ht="16" thickTop="1" x14ac:dyDescent="0.2"/>
  </sheetData>
  <mergeCells count="2">
    <mergeCell ref="B5:O5"/>
    <mergeCell ref="B2:O3"/>
  </mergeCells>
  <phoneticPr fontId="37" type="noConversion"/>
  <pageMargins left="0.51181102362204722" right="0.51181102362204722" top="0.78740157480314965" bottom="0.78740157480314965" header="0.31496062992125984" footer="0.31496062992125984"/>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pageSetUpPr fitToPage="1"/>
  </sheetPr>
  <dimension ref="A2:AG106"/>
  <sheetViews>
    <sheetView showGridLines="0" tabSelected="1" topLeftCell="A41" zoomScale="75" zoomScaleNormal="102" workbookViewId="0">
      <selection activeCell="AA64" sqref="AA64"/>
    </sheetView>
  </sheetViews>
  <sheetFormatPr baseColWidth="10" defaultColWidth="9.1640625" defaultRowHeight="16" x14ac:dyDescent="0.2"/>
  <cols>
    <col min="1" max="1" width="3.1640625" style="49" customWidth="1"/>
    <col min="2" max="2" width="52.83203125" style="9" customWidth="1"/>
    <col min="3" max="3" width="19.6640625" style="9" customWidth="1"/>
    <col min="4" max="4" width="5.33203125" style="9" bestFit="1" customWidth="1"/>
    <col min="5" max="5" width="19.6640625" style="9" customWidth="1"/>
    <col min="6" max="6" width="5.33203125" style="9" bestFit="1" customWidth="1"/>
    <col min="7" max="7" width="18.83203125" style="9" customWidth="1"/>
    <col min="8" max="8" width="5.33203125" style="9" bestFit="1" customWidth="1"/>
    <col min="9" max="9" width="21.83203125" style="9" customWidth="1"/>
    <col min="10" max="10" width="5.33203125" style="9" bestFit="1" customWidth="1"/>
    <col min="11" max="11" width="18.83203125" style="9" customWidth="1"/>
    <col min="12" max="12" width="5.33203125" style="9" bestFit="1" customWidth="1"/>
    <col min="13" max="13" width="19.5" style="9" customWidth="1"/>
    <col min="14" max="14" width="5.33203125" style="9" bestFit="1" customWidth="1"/>
    <col min="15" max="15" width="18.83203125" style="9" customWidth="1"/>
    <col min="16" max="16" width="5.33203125" style="9" bestFit="1" customWidth="1"/>
    <col min="17" max="17" width="18.83203125" style="9" customWidth="1"/>
    <col min="18" max="18" width="5.33203125" style="9" bestFit="1" customWidth="1"/>
    <col min="19" max="19" width="18.83203125" style="9" customWidth="1"/>
    <col min="20" max="20" width="5.33203125" style="9" bestFit="1" customWidth="1"/>
    <col min="21" max="21" width="18.83203125" style="9" customWidth="1"/>
    <col min="22" max="22" width="6.5" style="9" bestFit="1" customWidth="1"/>
    <col min="23" max="23" width="18.83203125" style="9" customWidth="1"/>
    <col min="24" max="24" width="6.5" style="9" bestFit="1" customWidth="1"/>
    <col min="25" max="25" width="18.83203125" style="9" customWidth="1"/>
    <col min="26" max="26" width="6.5" style="9" bestFit="1" customWidth="1"/>
    <col min="27" max="27" width="20.1640625" style="9" bestFit="1" customWidth="1"/>
    <col min="28" max="28" width="6.5" style="9" bestFit="1" customWidth="1"/>
    <col min="29" max="29" width="5.83203125" style="9" customWidth="1"/>
    <col min="30" max="30" width="16.5" style="9" bestFit="1" customWidth="1"/>
    <col min="31" max="31" width="15.6640625" style="9" bestFit="1" customWidth="1"/>
    <col min="32" max="33" width="14.33203125" style="9" bestFit="1" customWidth="1"/>
    <col min="34" max="16384" width="9.1640625" style="9"/>
  </cols>
  <sheetData>
    <row r="2" spans="1:29" x14ac:dyDescent="0.2">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62"/>
    </row>
    <row r="3" spans="1:29" ht="15.75" customHeight="1" x14ac:dyDescent="0.2">
      <c r="B3" s="221" t="s">
        <v>66</v>
      </c>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63"/>
    </row>
    <row r="4" spans="1:29" ht="15.75" customHeight="1" x14ac:dyDescent="0.2">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63"/>
    </row>
    <row r="5" spans="1:29" ht="19" x14ac:dyDescent="0.25">
      <c r="B5" s="222" t="s">
        <v>62</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64"/>
    </row>
    <row r="6" spans="1:29" ht="19" x14ac:dyDescent="0.25">
      <c r="B6" s="222" t="s">
        <v>63</v>
      </c>
      <c r="C6" s="222"/>
      <c r="D6" s="222"/>
      <c r="E6" s="222"/>
      <c r="F6" s="222"/>
      <c r="G6" s="222"/>
      <c r="H6" s="222"/>
      <c r="I6" s="222"/>
      <c r="J6" s="222"/>
      <c r="K6" s="222"/>
      <c r="L6" s="222"/>
      <c r="M6" s="222"/>
      <c r="N6" s="222"/>
      <c r="O6" s="222"/>
      <c r="P6" s="222"/>
      <c r="Q6" s="222"/>
      <c r="R6" s="222"/>
      <c r="S6" s="222"/>
      <c r="T6" s="222"/>
      <c r="U6" s="222"/>
      <c r="V6" s="222"/>
      <c r="W6" s="222"/>
      <c r="X6" s="222"/>
      <c r="Y6" s="222"/>
      <c r="Z6" s="222"/>
      <c r="AA6" s="222"/>
      <c r="AB6" s="64"/>
    </row>
    <row r="8" spans="1:29" x14ac:dyDescent="0.2">
      <c r="B8" s="218" t="s">
        <v>64</v>
      </c>
      <c r="C8" s="219"/>
      <c r="D8" s="219"/>
      <c r="E8" s="219"/>
      <c r="F8" s="219"/>
      <c r="G8" s="219"/>
      <c r="H8" s="219"/>
      <c r="I8" s="219"/>
      <c r="J8" s="219"/>
      <c r="K8" s="219"/>
      <c r="L8" s="219"/>
      <c r="M8" s="219"/>
      <c r="N8" s="219"/>
      <c r="O8" s="219"/>
      <c r="P8" s="219"/>
      <c r="Q8" s="219"/>
      <c r="R8" s="219"/>
      <c r="S8" s="219"/>
      <c r="T8" s="219"/>
      <c r="U8" s="219"/>
      <c r="V8" s="219"/>
      <c r="W8" s="219"/>
      <c r="X8" s="219"/>
      <c r="Y8" s="219"/>
      <c r="Z8" s="219"/>
      <c r="AA8" s="219"/>
      <c r="AB8" s="127"/>
    </row>
    <row r="9" spans="1:29" s="11" customFormat="1" ht="4.5" customHeight="1" x14ac:dyDescent="0.2">
      <c r="A9" s="10"/>
      <c r="B9" s="128"/>
      <c r="C9" s="10"/>
      <c r="D9" s="10"/>
      <c r="E9" s="10"/>
      <c r="F9" s="10"/>
      <c r="G9" s="10"/>
      <c r="H9" s="10"/>
      <c r="I9" s="10"/>
      <c r="J9" s="10"/>
      <c r="K9" s="10"/>
      <c r="L9" s="10"/>
      <c r="M9" s="10"/>
      <c r="N9" s="10"/>
      <c r="O9" s="10"/>
      <c r="P9" s="10"/>
      <c r="Q9" s="10"/>
      <c r="R9" s="10"/>
      <c r="S9" s="10"/>
      <c r="T9" s="10"/>
      <c r="U9" s="10"/>
      <c r="V9" s="10"/>
      <c r="W9" s="10"/>
      <c r="X9" s="10"/>
      <c r="Y9" s="10"/>
      <c r="Z9" s="10"/>
      <c r="AA9" s="10"/>
      <c r="AB9" s="129"/>
    </row>
    <row r="10" spans="1:29" s="11" customFormat="1" ht="60" customHeight="1" x14ac:dyDescent="0.2">
      <c r="A10" s="10"/>
      <c r="B10" s="130"/>
      <c r="C10" s="20"/>
      <c r="D10" s="90"/>
      <c r="E10" s="20"/>
      <c r="F10" s="90"/>
      <c r="G10" s="21"/>
      <c r="H10" s="90"/>
      <c r="I10" s="21"/>
      <c r="J10" s="90"/>
      <c r="K10" s="21"/>
      <c r="L10" s="90"/>
      <c r="M10" s="21"/>
      <c r="N10" s="90"/>
      <c r="O10" s="21"/>
      <c r="P10" s="90"/>
      <c r="Q10" s="21"/>
      <c r="R10" s="90"/>
      <c r="S10" s="22"/>
      <c r="T10" s="90"/>
      <c r="U10" s="21"/>
      <c r="V10" s="90"/>
      <c r="W10" s="21"/>
      <c r="X10" s="90"/>
      <c r="Y10" s="22"/>
      <c r="Z10" s="90"/>
      <c r="AA10" s="21"/>
      <c r="AB10" s="131"/>
    </row>
    <row r="11" spans="1:29" s="11" customFormat="1" ht="4.5" customHeight="1" x14ac:dyDescent="0.2">
      <c r="A11" s="10"/>
      <c r="B11" s="1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29"/>
    </row>
    <row r="12" spans="1:29" s="2" customFormat="1" ht="15" x14ac:dyDescent="0.2">
      <c r="A12" s="7"/>
      <c r="B12" s="132"/>
      <c r="C12" s="81" t="s">
        <v>5</v>
      </c>
      <c r="D12" s="81" t="s">
        <v>100</v>
      </c>
      <c r="E12" s="81" t="s">
        <v>6</v>
      </c>
      <c r="F12" s="81" t="s">
        <v>100</v>
      </c>
      <c r="G12" s="81" t="s">
        <v>7</v>
      </c>
      <c r="H12" s="81" t="s">
        <v>100</v>
      </c>
      <c r="I12" s="81" t="s">
        <v>8</v>
      </c>
      <c r="J12" s="81" t="s">
        <v>100</v>
      </c>
      <c r="K12" s="81" t="s">
        <v>9</v>
      </c>
      <c r="L12" s="81" t="s">
        <v>100</v>
      </c>
      <c r="M12" s="81" t="s">
        <v>10</v>
      </c>
      <c r="N12" s="81" t="s">
        <v>100</v>
      </c>
      <c r="O12" s="81" t="s">
        <v>11</v>
      </c>
      <c r="P12" s="81" t="s">
        <v>100</v>
      </c>
      <c r="Q12" s="81" t="s">
        <v>12</v>
      </c>
      <c r="R12" s="81" t="s">
        <v>100</v>
      </c>
      <c r="S12" s="81" t="s">
        <v>13</v>
      </c>
      <c r="T12" s="81" t="s">
        <v>100</v>
      </c>
      <c r="U12" s="81" t="s">
        <v>14</v>
      </c>
      <c r="V12" s="81" t="s">
        <v>100</v>
      </c>
      <c r="W12" s="81" t="s">
        <v>15</v>
      </c>
      <c r="X12" s="81" t="s">
        <v>100</v>
      </c>
      <c r="Y12" s="81" t="s">
        <v>16</v>
      </c>
      <c r="Z12" s="81" t="s">
        <v>100</v>
      </c>
      <c r="AA12" s="81" t="s">
        <v>37</v>
      </c>
      <c r="AB12" s="133" t="s">
        <v>100</v>
      </c>
    </row>
    <row r="13" spans="1:29" x14ac:dyDescent="0.2">
      <c r="A13" s="49">
        <v>994</v>
      </c>
      <c r="B13" s="134" t="s">
        <v>67</v>
      </c>
      <c r="C13" s="73"/>
      <c r="D13" s="73"/>
      <c r="E13" s="70"/>
      <c r="F13" s="73"/>
      <c r="G13" s="73"/>
      <c r="H13" s="73"/>
      <c r="I13" s="73"/>
      <c r="J13" s="73"/>
      <c r="K13" s="73"/>
      <c r="L13" s="73"/>
      <c r="M13" s="73"/>
      <c r="N13" s="73"/>
      <c r="O13" s="73"/>
      <c r="P13" s="73"/>
      <c r="Q13" s="73"/>
      <c r="R13" s="73"/>
      <c r="S13" s="73"/>
      <c r="T13" s="73"/>
      <c r="U13" s="73"/>
      <c r="V13" s="73"/>
      <c r="W13" s="73"/>
      <c r="X13" s="73"/>
      <c r="Y13" s="73"/>
      <c r="Z13" s="73"/>
      <c r="AA13" s="73">
        <f>SUM(C13,E13,G13,I13,K13,M13,O13,Q13,S13,U13,W13,Y13)</f>
        <v>0</v>
      </c>
      <c r="AB13" s="135"/>
    </row>
    <row r="14" spans="1:29" x14ac:dyDescent="0.2">
      <c r="A14" s="49">
        <v>1022</v>
      </c>
      <c r="B14" s="134" t="s">
        <v>68</v>
      </c>
      <c r="C14" s="70"/>
      <c r="D14" s="70"/>
      <c r="E14" s="70"/>
      <c r="F14" s="70"/>
      <c r="G14" s="70"/>
      <c r="H14" s="70"/>
      <c r="I14" s="70"/>
      <c r="J14" s="70"/>
      <c r="K14" s="70"/>
      <c r="L14" s="70"/>
      <c r="M14" s="70"/>
      <c r="N14" s="70"/>
      <c r="O14" s="70"/>
      <c r="P14" s="70"/>
      <c r="Q14" s="70"/>
      <c r="R14" s="70"/>
      <c r="S14" s="70"/>
      <c r="T14" s="70"/>
      <c r="U14" s="70"/>
      <c r="V14" s="70"/>
      <c r="W14" s="70"/>
      <c r="X14" s="70"/>
      <c r="Y14" s="70"/>
      <c r="Z14" s="70"/>
      <c r="AA14" s="73">
        <f t="shared" ref="AA14:AA24" si="0">SUM(C14,E14,G14,I14,K14,M14,O14,Q14,S14,U14,W14,Y14)</f>
        <v>0</v>
      </c>
      <c r="AB14" s="136"/>
    </row>
    <row r="15" spans="1:29" x14ac:dyDescent="0.2">
      <c r="A15" s="49">
        <v>1085</v>
      </c>
      <c r="B15" s="134" t="s">
        <v>69</v>
      </c>
      <c r="C15" s="70"/>
      <c r="D15" s="70"/>
      <c r="E15" s="70"/>
      <c r="F15" s="70"/>
      <c r="G15" s="70"/>
      <c r="H15" s="70"/>
      <c r="I15" s="70"/>
      <c r="J15" s="70"/>
      <c r="K15" s="70"/>
      <c r="L15" s="70"/>
      <c r="M15" s="70"/>
      <c r="N15" s="70"/>
      <c r="O15" s="70"/>
      <c r="P15" s="70"/>
      <c r="Q15" s="70"/>
      <c r="R15" s="70"/>
      <c r="S15" s="70"/>
      <c r="T15" s="70"/>
      <c r="U15" s="70"/>
      <c r="V15" s="70"/>
      <c r="W15" s="70"/>
      <c r="X15" s="70"/>
      <c r="Y15" s="70"/>
      <c r="Z15" s="70"/>
      <c r="AA15" s="73">
        <f t="shared" si="0"/>
        <v>0</v>
      </c>
      <c r="AB15" s="136"/>
      <c r="AC15" s="13"/>
    </row>
    <row r="16" spans="1:29" x14ac:dyDescent="0.2">
      <c r="A16" s="49">
        <v>1176</v>
      </c>
      <c r="B16" s="134" t="s">
        <v>70</v>
      </c>
      <c r="C16" s="70"/>
      <c r="D16" s="70"/>
      <c r="E16" s="70"/>
      <c r="F16" s="70"/>
      <c r="G16" s="70"/>
      <c r="H16" s="70"/>
      <c r="I16" s="70"/>
      <c r="J16" s="70"/>
      <c r="K16" s="70"/>
      <c r="L16" s="70"/>
      <c r="M16" s="70"/>
      <c r="N16" s="70"/>
      <c r="O16" s="70"/>
      <c r="P16" s="70"/>
      <c r="Q16" s="70"/>
      <c r="R16" s="70"/>
      <c r="S16" s="70"/>
      <c r="T16" s="70"/>
      <c r="U16" s="70"/>
      <c r="V16" s="70"/>
      <c r="W16" s="70"/>
      <c r="X16" s="70"/>
      <c r="Y16" s="70"/>
      <c r="Z16" s="70"/>
      <c r="AA16" s="73">
        <f t="shared" si="0"/>
        <v>0</v>
      </c>
      <c r="AB16" s="136"/>
    </row>
    <row r="17" spans="1:29" x14ac:dyDescent="0.2">
      <c r="A17" s="49">
        <v>5139</v>
      </c>
      <c r="B17" s="134" t="s">
        <v>71</v>
      </c>
      <c r="C17" s="70"/>
      <c r="D17" s="70"/>
      <c r="E17" s="70"/>
      <c r="F17" s="70"/>
      <c r="G17" s="70"/>
      <c r="H17" s="70"/>
      <c r="I17" s="70"/>
      <c r="J17" s="70"/>
      <c r="K17" s="70"/>
      <c r="L17" s="70"/>
      <c r="M17" s="70"/>
      <c r="N17" s="70"/>
      <c r="O17" s="70"/>
      <c r="P17" s="70"/>
      <c r="Q17" s="70"/>
      <c r="R17" s="70"/>
      <c r="S17" s="70"/>
      <c r="T17" s="70"/>
      <c r="U17" s="70"/>
      <c r="V17" s="70"/>
      <c r="W17" s="70"/>
      <c r="X17" s="70"/>
      <c r="Y17" s="70"/>
      <c r="Z17" s="70"/>
      <c r="AA17" s="73">
        <f t="shared" si="0"/>
        <v>0</v>
      </c>
      <c r="AB17" s="136"/>
    </row>
    <row r="18" spans="1:29" x14ac:dyDescent="0.2">
      <c r="A18" s="49">
        <v>1197</v>
      </c>
      <c r="B18" s="134" t="s">
        <v>72</v>
      </c>
      <c r="C18" s="70"/>
      <c r="D18" s="70"/>
      <c r="E18" s="70"/>
      <c r="F18" s="70"/>
      <c r="G18" s="70"/>
      <c r="H18" s="70"/>
      <c r="I18" s="70"/>
      <c r="J18" s="70"/>
      <c r="K18" s="70"/>
      <c r="L18" s="70"/>
      <c r="M18" s="70"/>
      <c r="N18" s="70"/>
      <c r="O18" s="70"/>
      <c r="P18" s="70"/>
      <c r="Q18" s="70"/>
      <c r="R18" s="70"/>
      <c r="S18" s="70"/>
      <c r="T18" s="70"/>
      <c r="U18" s="70"/>
      <c r="V18" s="70"/>
      <c r="W18" s="70"/>
      <c r="X18" s="70"/>
      <c r="Y18" s="70"/>
      <c r="Z18" s="70"/>
      <c r="AA18" s="73">
        <f t="shared" si="0"/>
        <v>0</v>
      </c>
      <c r="AB18" s="136"/>
    </row>
    <row r="19" spans="1:29" x14ac:dyDescent="0.2">
      <c r="A19" s="49">
        <v>3276</v>
      </c>
      <c r="B19" s="134" t="s">
        <v>73</v>
      </c>
      <c r="C19" s="70"/>
      <c r="D19" s="70"/>
      <c r="E19" s="70"/>
      <c r="F19" s="70"/>
      <c r="G19" s="70"/>
      <c r="H19" s="70"/>
      <c r="I19" s="70"/>
      <c r="J19" s="70"/>
      <c r="K19" s="70"/>
      <c r="L19" s="70"/>
      <c r="M19" s="70"/>
      <c r="N19" s="70"/>
      <c r="O19" s="70"/>
      <c r="P19" s="70"/>
      <c r="Q19" s="70"/>
      <c r="R19" s="70"/>
      <c r="S19" s="70"/>
      <c r="T19" s="70"/>
      <c r="U19" s="70"/>
      <c r="V19" s="70"/>
      <c r="W19" s="70"/>
      <c r="X19" s="70"/>
      <c r="Y19" s="70"/>
      <c r="Z19" s="70"/>
      <c r="AA19" s="73">
        <f t="shared" si="0"/>
        <v>0</v>
      </c>
      <c r="AB19" s="136"/>
    </row>
    <row r="20" spans="1:29" x14ac:dyDescent="0.2">
      <c r="B20" s="134" t="s">
        <v>74</v>
      </c>
      <c r="C20" s="70"/>
      <c r="D20" s="70"/>
      <c r="E20" s="70"/>
      <c r="F20" s="70"/>
      <c r="G20" s="70"/>
      <c r="H20" s="70"/>
      <c r="I20" s="70"/>
      <c r="J20" s="70"/>
      <c r="K20" s="70"/>
      <c r="L20" s="70"/>
      <c r="M20" s="70"/>
      <c r="N20" s="70"/>
      <c r="O20" s="70"/>
      <c r="P20" s="70"/>
      <c r="Q20" s="70"/>
      <c r="R20" s="70"/>
      <c r="S20" s="70"/>
      <c r="T20" s="70"/>
      <c r="U20" s="70"/>
      <c r="V20" s="70"/>
      <c r="W20" s="70"/>
      <c r="X20" s="70"/>
      <c r="Y20" s="70"/>
      <c r="Z20" s="70"/>
      <c r="AA20" s="73">
        <f t="shared" si="0"/>
        <v>0</v>
      </c>
      <c r="AB20" s="136"/>
    </row>
    <row r="21" spans="1:29" x14ac:dyDescent="0.2">
      <c r="B21" s="134" t="s">
        <v>75</v>
      </c>
      <c r="C21" s="70"/>
      <c r="D21" s="70"/>
      <c r="E21" s="70"/>
      <c r="F21" s="70"/>
      <c r="G21" s="70"/>
      <c r="H21" s="70"/>
      <c r="I21" s="70"/>
      <c r="J21" s="70"/>
      <c r="K21" s="70"/>
      <c r="L21" s="70"/>
      <c r="M21" s="70"/>
      <c r="N21" s="70"/>
      <c r="O21" s="70"/>
      <c r="P21" s="70"/>
      <c r="Q21" s="70"/>
      <c r="R21" s="70"/>
      <c r="S21" s="70"/>
      <c r="T21" s="70"/>
      <c r="U21" s="70"/>
      <c r="V21" s="70"/>
      <c r="W21" s="70"/>
      <c r="X21" s="70"/>
      <c r="Y21" s="70"/>
      <c r="Z21" s="70"/>
      <c r="AA21" s="73">
        <f t="shared" si="0"/>
        <v>0</v>
      </c>
      <c r="AB21" s="136"/>
    </row>
    <row r="22" spans="1:29" x14ac:dyDescent="0.2">
      <c r="B22" s="134" t="s">
        <v>76</v>
      </c>
      <c r="C22" s="70"/>
      <c r="D22" s="70"/>
      <c r="E22" s="70"/>
      <c r="F22" s="70"/>
      <c r="G22" s="70"/>
      <c r="H22" s="70"/>
      <c r="I22" s="70"/>
      <c r="J22" s="70"/>
      <c r="K22" s="70"/>
      <c r="L22" s="70"/>
      <c r="M22" s="70"/>
      <c r="N22" s="70"/>
      <c r="O22" s="70"/>
      <c r="P22" s="70"/>
      <c r="Q22" s="70"/>
      <c r="R22" s="70"/>
      <c r="S22" s="70"/>
      <c r="T22" s="70"/>
      <c r="U22" s="70"/>
      <c r="V22" s="70"/>
      <c r="W22" s="70"/>
      <c r="X22" s="70"/>
      <c r="Y22" s="70"/>
      <c r="Z22" s="70"/>
      <c r="AA22" s="73">
        <f t="shared" si="0"/>
        <v>0</v>
      </c>
      <c r="AB22" s="136"/>
    </row>
    <row r="23" spans="1:29" x14ac:dyDescent="0.2">
      <c r="B23" s="134" t="s">
        <v>77</v>
      </c>
      <c r="C23" s="70"/>
      <c r="D23" s="70"/>
      <c r="E23" s="70"/>
      <c r="F23" s="70"/>
      <c r="G23" s="70"/>
      <c r="H23" s="70"/>
      <c r="I23" s="70"/>
      <c r="J23" s="70"/>
      <c r="K23" s="70"/>
      <c r="L23" s="70"/>
      <c r="M23" s="70"/>
      <c r="N23" s="70"/>
      <c r="O23" s="70"/>
      <c r="P23" s="70"/>
      <c r="Q23" s="70"/>
      <c r="R23" s="70"/>
      <c r="S23" s="70"/>
      <c r="T23" s="70"/>
      <c r="U23" s="70"/>
      <c r="V23" s="70"/>
      <c r="W23" s="70"/>
      <c r="X23" s="70"/>
      <c r="Y23" s="70"/>
      <c r="Z23" s="70"/>
      <c r="AA23" s="73">
        <f t="shared" si="0"/>
        <v>0</v>
      </c>
      <c r="AB23" s="136"/>
    </row>
    <row r="24" spans="1:29" x14ac:dyDescent="0.2">
      <c r="B24" s="134" t="s">
        <v>78</v>
      </c>
      <c r="C24" s="70"/>
      <c r="D24" s="70"/>
      <c r="E24" s="70"/>
      <c r="F24" s="70"/>
      <c r="G24" s="70"/>
      <c r="H24" s="70"/>
      <c r="I24" s="70"/>
      <c r="J24" s="70"/>
      <c r="K24" s="70"/>
      <c r="L24" s="70"/>
      <c r="M24" s="70"/>
      <c r="N24" s="70"/>
      <c r="O24" s="70"/>
      <c r="P24" s="70"/>
      <c r="Q24" s="70"/>
      <c r="R24" s="70"/>
      <c r="S24" s="70"/>
      <c r="T24" s="70"/>
      <c r="U24" s="70"/>
      <c r="V24" s="70"/>
      <c r="W24" s="70"/>
      <c r="X24" s="70"/>
      <c r="Y24" s="70"/>
      <c r="Z24" s="70"/>
      <c r="AA24" s="73">
        <f t="shared" si="0"/>
        <v>0</v>
      </c>
      <c r="AB24" s="137"/>
    </row>
    <row r="25" spans="1:29" customFormat="1" ht="15" x14ac:dyDescent="0.2">
      <c r="A25" s="75"/>
      <c r="B25" s="138" t="s">
        <v>79</v>
      </c>
      <c r="C25" s="69">
        <f>SUM(C13:C24)</f>
        <v>0</v>
      </c>
      <c r="D25" s="69"/>
      <c r="E25" s="69">
        <f>SUM(E13:E24)</f>
        <v>0</v>
      </c>
      <c r="F25" s="69"/>
      <c r="G25" s="69">
        <f t="shared" ref="E25:Y25" si="1">SUM(G13:G24)</f>
        <v>0</v>
      </c>
      <c r="H25" s="69"/>
      <c r="I25" s="69">
        <f t="shared" si="1"/>
        <v>0</v>
      </c>
      <c r="J25" s="69"/>
      <c r="K25" s="69">
        <f t="shared" si="1"/>
        <v>0</v>
      </c>
      <c r="L25" s="69"/>
      <c r="M25" s="69">
        <f t="shared" si="1"/>
        <v>0</v>
      </c>
      <c r="N25" s="69"/>
      <c r="O25" s="69">
        <f t="shared" si="1"/>
        <v>0</v>
      </c>
      <c r="P25" s="69"/>
      <c r="Q25" s="69">
        <f t="shared" si="1"/>
        <v>0</v>
      </c>
      <c r="R25" s="69"/>
      <c r="S25" s="69">
        <f t="shared" si="1"/>
        <v>0</v>
      </c>
      <c r="T25" s="69"/>
      <c r="U25" s="69">
        <f t="shared" si="1"/>
        <v>0</v>
      </c>
      <c r="V25" s="69"/>
      <c r="W25" s="69">
        <f t="shared" si="1"/>
        <v>0</v>
      </c>
      <c r="X25" s="69"/>
      <c r="Y25" s="69">
        <f t="shared" si="1"/>
        <v>0</v>
      </c>
      <c r="Z25" s="69"/>
      <c r="AA25" s="69">
        <f t="shared" ref="AA25" si="2">SUM(AA13:AA24)</f>
        <v>0</v>
      </c>
      <c r="AB25" s="139"/>
      <c r="AC25" s="4"/>
    </row>
    <row r="26" spans="1:29" x14ac:dyDescent="0.2">
      <c r="B26" s="140"/>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1"/>
    </row>
    <row r="27" spans="1:29" customFormat="1" ht="15" x14ac:dyDescent="0.2">
      <c r="A27" s="75"/>
      <c r="B27" s="134" t="s">
        <v>80</v>
      </c>
      <c r="C27" s="71"/>
      <c r="D27" s="91">
        <f>IFERROR((C27/C25),0)</f>
        <v>0</v>
      </c>
      <c r="E27" s="71"/>
      <c r="F27" s="91">
        <f>IFERROR((E27/E25),0)</f>
        <v>0</v>
      </c>
      <c r="G27" s="71"/>
      <c r="H27" s="91">
        <f>IFERROR((G27/G25),0)</f>
        <v>0</v>
      </c>
      <c r="I27" s="71"/>
      <c r="J27" s="91">
        <f>IFERROR((I27/I25),0)</f>
        <v>0</v>
      </c>
      <c r="K27" s="71"/>
      <c r="L27" s="91">
        <f>IFERROR((K27/K25),0)</f>
        <v>0</v>
      </c>
      <c r="M27" s="71"/>
      <c r="N27" s="91">
        <f>IFERROR((M27/M25),0)</f>
        <v>0</v>
      </c>
      <c r="O27" s="71"/>
      <c r="P27" s="91">
        <f>IFERROR((O27/O25),0)</f>
        <v>0</v>
      </c>
      <c r="Q27" s="71"/>
      <c r="R27" s="91">
        <f>IFERROR((Q27/Q25),0)</f>
        <v>0</v>
      </c>
      <c r="S27" s="71"/>
      <c r="T27" s="91">
        <f>IFERROR((S27/S25),0)</f>
        <v>0</v>
      </c>
      <c r="U27" s="71"/>
      <c r="V27" s="91">
        <f>IFERROR((U27/U25),0)</f>
        <v>0</v>
      </c>
      <c r="W27" s="71"/>
      <c r="X27" s="91">
        <f>IFERROR((W27/W25),0)</f>
        <v>0</v>
      </c>
      <c r="Y27" s="71"/>
      <c r="Z27" s="91">
        <f>IFERROR((Y27/Y25),0)</f>
        <v>0</v>
      </c>
      <c r="AA27" s="73">
        <f t="shared" ref="AA27" si="3">SUM(C27:Y27)</f>
        <v>0</v>
      </c>
      <c r="AB27" s="142">
        <f>IFERROR((AA27/AA25),0)</f>
        <v>0</v>
      </c>
    </row>
    <row r="28" spans="1:29" customFormat="1" ht="15" x14ac:dyDescent="0.2">
      <c r="A28" s="75"/>
      <c r="B28" s="138" t="s">
        <v>81</v>
      </c>
      <c r="C28" s="69">
        <f>C27</f>
        <v>0</v>
      </c>
      <c r="D28" s="92"/>
      <c r="E28" s="69">
        <f t="shared" ref="E28:AA28" si="4">E27</f>
        <v>0</v>
      </c>
      <c r="F28" s="92"/>
      <c r="G28" s="69">
        <f t="shared" si="4"/>
        <v>0</v>
      </c>
      <c r="H28" s="92"/>
      <c r="I28" s="69">
        <f t="shared" si="4"/>
        <v>0</v>
      </c>
      <c r="J28" s="92"/>
      <c r="K28" s="69">
        <f t="shared" si="4"/>
        <v>0</v>
      </c>
      <c r="L28" s="92"/>
      <c r="M28" s="69">
        <f t="shared" si="4"/>
        <v>0</v>
      </c>
      <c r="N28" s="92"/>
      <c r="O28" s="69">
        <f t="shared" si="4"/>
        <v>0</v>
      </c>
      <c r="P28" s="92"/>
      <c r="Q28" s="69">
        <f t="shared" si="4"/>
        <v>0</v>
      </c>
      <c r="R28" s="92"/>
      <c r="S28" s="69">
        <f t="shared" si="4"/>
        <v>0</v>
      </c>
      <c r="T28" s="92"/>
      <c r="U28" s="69">
        <f t="shared" si="4"/>
        <v>0</v>
      </c>
      <c r="V28" s="92"/>
      <c r="W28" s="69">
        <f t="shared" si="4"/>
        <v>0</v>
      </c>
      <c r="X28" s="92"/>
      <c r="Y28" s="69">
        <f t="shared" si="4"/>
        <v>0</v>
      </c>
      <c r="Z28" s="92"/>
      <c r="AA28" s="69">
        <f t="shared" si="4"/>
        <v>0</v>
      </c>
      <c r="AB28" s="143"/>
      <c r="AC28" s="4"/>
    </row>
    <row r="29" spans="1:29" x14ac:dyDescent="0.2">
      <c r="B29" s="144"/>
      <c r="C29" s="65"/>
      <c r="D29" s="65"/>
      <c r="E29" s="65"/>
      <c r="F29" s="65"/>
      <c r="G29" s="65"/>
      <c r="H29" s="65"/>
      <c r="I29" s="65"/>
      <c r="J29" s="65"/>
      <c r="K29" s="65"/>
      <c r="L29" s="65"/>
      <c r="M29" s="65"/>
      <c r="N29" s="65"/>
      <c r="O29" s="65"/>
      <c r="P29" s="65"/>
      <c r="Q29" s="65"/>
      <c r="R29" s="65"/>
      <c r="S29" s="65"/>
      <c r="T29" s="65"/>
      <c r="U29" s="65"/>
      <c r="V29" s="65"/>
      <c r="W29" s="65"/>
      <c r="X29" s="65"/>
      <c r="Y29" s="65"/>
      <c r="Z29" s="65"/>
      <c r="AA29" s="66"/>
      <c r="AB29" s="145"/>
    </row>
    <row r="30" spans="1:29" s="48" customFormat="1" ht="15" x14ac:dyDescent="0.2">
      <c r="B30" s="146" t="s">
        <v>82</v>
      </c>
      <c r="C30" s="72"/>
      <c r="D30" s="72"/>
      <c r="E30" s="72"/>
      <c r="F30" s="72"/>
      <c r="G30" s="72"/>
      <c r="H30" s="72"/>
      <c r="I30" s="72"/>
      <c r="J30" s="72"/>
      <c r="K30" s="72"/>
      <c r="L30" s="72"/>
      <c r="M30" s="72"/>
      <c r="N30" s="72"/>
      <c r="O30" s="72"/>
      <c r="P30" s="72"/>
      <c r="Q30" s="72"/>
      <c r="R30" s="72"/>
      <c r="S30" s="72"/>
      <c r="T30" s="72"/>
      <c r="U30" s="72"/>
      <c r="V30" s="72"/>
      <c r="W30" s="72"/>
      <c r="X30" s="72"/>
      <c r="Y30" s="72"/>
      <c r="Z30" s="72"/>
      <c r="AA30" s="73">
        <f t="shared" ref="AA30" si="5">SUM(C30,E30,G30,I30,K30,M30,O30,Q30,S30,U30,W30,Y30)</f>
        <v>0</v>
      </c>
      <c r="AB30" s="147"/>
    </row>
    <row r="31" spans="1:29" customFormat="1" ht="15" x14ac:dyDescent="0.2">
      <c r="A31" s="75"/>
      <c r="B31" s="138" t="s">
        <v>83</v>
      </c>
      <c r="C31" s="69">
        <f>C30</f>
        <v>0</v>
      </c>
      <c r="D31" s="69"/>
      <c r="E31" s="69">
        <f t="shared" ref="E31:AA31" si="6">E30</f>
        <v>0</v>
      </c>
      <c r="F31" s="69"/>
      <c r="G31" s="69">
        <f t="shared" si="6"/>
        <v>0</v>
      </c>
      <c r="H31" s="69"/>
      <c r="I31" s="69">
        <f t="shared" si="6"/>
        <v>0</v>
      </c>
      <c r="J31" s="69"/>
      <c r="K31" s="69">
        <f t="shared" si="6"/>
        <v>0</v>
      </c>
      <c r="L31" s="69"/>
      <c r="M31" s="69">
        <f t="shared" si="6"/>
        <v>0</v>
      </c>
      <c r="N31" s="69"/>
      <c r="O31" s="69">
        <f t="shared" si="6"/>
        <v>0</v>
      </c>
      <c r="P31" s="69"/>
      <c r="Q31" s="69">
        <f t="shared" si="6"/>
        <v>0</v>
      </c>
      <c r="R31" s="69"/>
      <c r="S31" s="69">
        <f t="shared" si="6"/>
        <v>0</v>
      </c>
      <c r="T31" s="69"/>
      <c r="U31" s="69">
        <f t="shared" si="6"/>
        <v>0</v>
      </c>
      <c r="V31" s="69"/>
      <c r="W31" s="69">
        <f t="shared" si="6"/>
        <v>0</v>
      </c>
      <c r="X31" s="69"/>
      <c r="Y31" s="69">
        <f t="shared" si="6"/>
        <v>0</v>
      </c>
      <c r="Z31" s="69"/>
      <c r="AA31" s="69">
        <f t="shared" si="6"/>
        <v>0</v>
      </c>
      <c r="AB31" s="139"/>
      <c r="AC31" s="4"/>
    </row>
    <row r="32" spans="1:29" x14ac:dyDescent="0.2">
      <c r="B32" s="144"/>
      <c r="C32" s="65"/>
      <c r="D32" s="65"/>
      <c r="E32" s="65"/>
      <c r="F32" s="65"/>
      <c r="G32" s="65"/>
      <c r="H32" s="65"/>
      <c r="I32" s="65"/>
      <c r="J32" s="65"/>
      <c r="K32" s="65"/>
      <c r="L32" s="65"/>
      <c r="M32" s="65"/>
      <c r="N32" s="65"/>
      <c r="O32" s="65"/>
      <c r="P32" s="65"/>
      <c r="Q32" s="65"/>
      <c r="R32" s="65"/>
      <c r="S32" s="65"/>
      <c r="T32" s="65"/>
      <c r="U32" s="65"/>
      <c r="V32" s="65"/>
      <c r="W32" s="65"/>
      <c r="X32" s="65"/>
      <c r="Y32" s="65"/>
      <c r="Z32" s="65"/>
      <c r="AA32" s="66"/>
      <c r="AB32" s="145"/>
    </row>
    <row r="33" spans="1:29" customFormat="1" ht="15" x14ac:dyDescent="0.2">
      <c r="A33" s="75"/>
      <c r="B33" s="134" t="s">
        <v>84</v>
      </c>
      <c r="C33" s="72"/>
      <c r="D33" s="91">
        <f>IFERROR((C33/C25),0)</f>
        <v>0</v>
      </c>
      <c r="E33" s="72"/>
      <c r="F33" s="91">
        <f>IFERROR((E33/E25),0)</f>
        <v>0</v>
      </c>
      <c r="G33" s="72"/>
      <c r="H33" s="91">
        <f>IFERROR((G33/G25),0)</f>
        <v>0</v>
      </c>
      <c r="I33" s="72"/>
      <c r="J33" s="91">
        <f>IFERROR((I33/I25),0)</f>
        <v>0</v>
      </c>
      <c r="K33" s="72"/>
      <c r="L33" s="91">
        <f>IFERROR((K33/K25),0)</f>
        <v>0</v>
      </c>
      <c r="M33" s="72"/>
      <c r="N33" s="91">
        <f>IFERROR((M33/M25),0)</f>
        <v>0</v>
      </c>
      <c r="O33" s="72"/>
      <c r="P33" s="91">
        <f>IFERROR((O33/O25),0)</f>
        <v>0</v>
      </c>
      <c r="Q33" s="72"/>
      <c r="R33" s="91">
        <f>IFERROR((Q33/Q25),0)</f>
        <v>0</v>
      </c>
      <c r="S33" s="72"/>
      <c r="T33" s="91">
        <f>IFERROR((S33/S25),0)</f>
        <v>0</v>
      </c>
      <c r="U33" s="72"/>
      <c r="V33" s="91">
        <f>IFERROR((U33/U25),0)</f>
        <v>0</v>
      </c>
      <c r="W33" s="72"/>
      <c r="X33" s="91">
        <f>IFERROR((W33/W25),0)</f>
        <v>0</v>
      </c>
      <c r="Y33" s="72"/>
      <c r="Z33" s="91">
        <f>IFERROR((Y33/Y25),0)</f>
        <v>0</v>
      </c>
      <c r="AA33" s="73">
        <f t="shared" ref="AA33:AA37" si="7">SUM(C33,E33,G33,I33,K33,M33,O33,Q33,S33,U33,W33,Y33)</f>
        <v>0</v>
      </c>
      <c r="AB33" s="142">
        <f>IFERROR((AA33/AA25),0)</f>
        <v>0</v>
      </c>
    </row>
    <row r="34" spans="1:29" customFormat="1" ht="15" x14ac:dyDescent="0.2">
      <c r="A34" s="75"/>
      <c r="B34" s="134" t="s">
        <v>85</v>
      </c>
      <c r="C34" s="72"/>
      <c r="D34" s="91">
        <f>IFERROR((C34/C25),0)</f>
        <v>0</v>
      </c>
      <c r="E34" s="72"/>
      <c r="F34" s="91">
        <f>IFERROR((E34/E25),0)</f>
        <v>0</v>
      </c>
      <c r="G34" s="72"/>
      <c r="H34" s="91">
        <f>IFERROR((G34/G25),0)</f>
        <v>0</v>
      </c>
      <c r="I34" s="72"/>
      <c r="J34" s="91">
        <f>IFERROR((I34/I25),0)</f>
        <v>0</v>
      </c>
      <c r="K34" s="72"/>
      <c r="L34" s="91">
        <f>IFERROR((K34/K25),0)</f>
        <v>0</v>
      </c>
      <c r="M34" s="72"/>
      <c r="N34" s="91">
        <f>IFERROR((M34/M25),0)</f>
        <v>0</v>
      </c>
      <c r="O34" s="72"/>
      <c r="P34" s="91">
        <f>IFERROR((O34/O25),0)</f>
        <v>0</v>
      </c>
      <c r="Q34" s="72"/>
      <c r="R34" s="91">
        <f>IFERROR((Q34/Q25),0)</f>
        <v>0</v>
      </c>
      <c r="S34" s="72"/>
      <c r="T34" s="91">
        <f>IFERROR((S34/S25),0)</f>
        <v>0</v>
      </c>
      <c r="U34" s="72"/>
      <c r="V34" s="91">
        <f>IFERROR((U34/U25),0)</f>
        <v>0</v>
      </c>
      <c r="W34" s="72"/>
      <c r="X34" s="91">
        <f>IFERROR((W34/W25),0)</f>
        <v>0</v>
      </c>
      <c r="Y34" s="72"/>
      <c r="Z34" s="91">
        <f>IFERROR((Y34/Y25),0)</f>
        <v>0</v>
      </c>
      <c r="AA34" s="73">
        <f t="shared" si="7"/>
        <v>0</v>
      </c>
      <c r="AB34" s="142">
        <f>IFERROR((AA34/AA25),0)</f>
        <v>0</v>
      </c>
    </row>
    <row r="35" spans="1:29" customFormat="1" ht="15" x14ac:dyDescent="0.2">
      <c r="A35" s="75"/>
      <c r="B35" s="134" t="s">
        <v>86</v>
      </c>
      <c r="C35" s="72"/>
      <c r="D35" s="91">
        <f>IFERROR((C35/C25),0)</f>
        <v>0</v>
      </c>
      <c r="E35" s="72"/>
      <c r="F35" s="91">
        <f>IFERROR((E35/E25),0)</f>
        <v>0</v>
      </c>
      <c r="G35" s="72"/>
      <c r="H35" s="91">
        <f>IFERROR((G35/G25),0)</f>
        <v>0</v>
      </c>
      <c r="I35" s="72"/>
      <c r="J35" s="91">
        <f>IFERROR((I35/I25),0)</f>
        <v>0</v>
      </c>
      <c r="K35" s="72"/>
      <c r="L35" s="91">
        <f>IFERROR((K35/K25),0)</f>
        <v>0</v>
      </c>
      <c r="M35" s="72"/>
      <c r="N35" s="91">
        <f>IFERROR((M35/M25),0)</f>
        <v>0</v>
      </c>
      <c r="O35" s="72"/>
      <c r="P35" s="91">
        <f>IFERROR((O35/O25),0)</f>
        <v>0</v>
      </c>
      <c r="Q35" s="72"/>
      <c r="R35" s="91">
        <f>IFERROR((Q35/Q25),0)</f>
        <v>0</v>
      </c>
      <c r="S35" s="72"/>
      <c r="T35" s="91">
        <f>IFERROR((S35/S25),0)</f>
        <v>0</v>
      </c>
      <c r="U35" s="72"/>
      <c r="V35" s="91">
        <f>IFERROR((U35/U25),0)</f>
        <v>0</v>
      </c>
      <c r="W35" s="72"/>
      <c r="X35" s="91">
        <f>IFERROR((W35/W25),0)</f>
        <v>0</v>
      </c>
      <c r="Y35" s="72"/>
      <c r="Z35" s="91">
        <f>IFERROR((Y35/Y25),0)</f>
        <v>0</v>
      </c>
      <c r="AA35" s="73">
        <f t="shared" si="7"/>
        <v>0</v>
      </c>
      <c r="AB35" s="142">
        <f>IFERROR((AA35/AA25),0)</f>
        <v>0</v>
      </c>
    </row>
    <row r="36" spans="1:29" customFormat="1" ht="15" x14ac:dyDescent="0.2">
      <c r="A36" s="75"/>
      <c r="B36" s="134" t="s">
        <v>87</v>
      </c>
      <c r="C36" s="72"/>
      <c r="D36" s="91">
        <f>IFERROR((C36/C25),0)</f>
        <v>0</v>
      </c>
      <c r="E36" s="72"/>
      <c r="F36" s="91">
        <f>IFERROR((E36/E25),0)</f>
        <v>0</v>
      </c>
      <c r="G36" s="72"/>
      <c r="H36" s="91">
        <f>IFERROR((G36/G25),0)</f>
        <v>0</v>
      </c>
      <c r="I36" s="72"/>
      <c r="J36" s="91">
        <f>IFERROR((I36/I25),0)</f>
        <v>0</v>
      </c>
      <c r="K36" s="72"/>
      <c r="L36" s="91">
        <f>IFERROR((K36/K25),0)</f>
        <v>0</v>
      </c>
      <c r="M36" s="72"/>
      <c r="N36" s="91">
        <f>IFERROR((M36/M25),0)</f>
        <v>0</v>
      </c>
      <c r="O36" s="72"/>
      <c r="P36" s="91">
        <f>IFERROR((O36/O25),0)</f>
        <v>0</v>
      </c>
      <c r="Q36" s="72"/>
      <c r="R36" s="91">
        <f>IFERROR((Q36/Q25),0)</f>
        <v>0</v>
      </c>
      <c r="S36" s="72"/>
      <c r="T36" s="91">
        <f>IFERROR((S36/S25),0)</f>
        <v>0</v>
      </c>
      <c r="U36" s="72"/>
      <c r="V36" s="91">
        <f>IFERROR((U36/U25),0)</f>
        <v>0</v>
      </c>
      <c r="W36" s="72"/>
      <c r="X36" s="91">
        <f>IFERROR((W36/W25),0)</f>
        <v>0</v>
      </c>
      <c r="Y36" s="72"/>
      <c r="Z36" s="91">
        <f>IFERROR((Y36/Y25),0)</f>
        <v>0</v>
      </c>
      <c r="AA36" s="73">
        <f t="shared" si="7"/>
        <v>0</v>
      </c>
      <c r="AB36" s="142">
        <f>IFERROR((AA36/AA25),0)</f>
        <v>0</v>
      </c>
    </row>
    <row r="37" spans="1:29" customFormat="1" ht="15" x14ac:dyDescent="0.2">
      <c r="A37" s="75"/>
      <c r="B37" s="134" t="s">
        <v>88</v>
      </c>
      <c r="C37" s="72"/>
      <c r="D37" s="91">
        <f>IFERROR((C37/C25),0)</f>
        <v>0</v>
      </c>
      <c r="E37" s="72"/>
      <c r="F37" s="91">
        <f>IFERROR((E37/E25),0)</f>
        <v>0</v>
      </c>
      <c r="G37" s="72"/>
      <c r="H37" s="91">
        <f>IFERROR((G37/G25),0)</f>
        <v>0</v>
      </c>
      <c r="I37" s="72"/>
      <c r="J37" s="91">
        <f>IFERROR((I37/I25),0)</f>
        <v>0</v>
      </c>
      <c r="K37" s="72"/>
      <c r="L37" s="91">
        <f>IFERROR((K37/K25),0)</f>
        <v>0</v>
      </c>
      <c r="M37" s="72"/>
      <c r="N37" s="91">
        <f>IFERROR((M37/M25),0)</f>
        <v>0</v>
      </c>
      <c r="O37" s="72"/>
      <c r="P37" s="91">
        <f>IFERROR((O37/O25),0)</f>
        <v>0</v>
      </c>
      <c r="Q37" s="72"/>
      <c r="R37" s="91">
        <f>IFERROR((Q37/Q25),0)</f>
        <v>0</v>
      </c>
      <c r="S37" s="72"/>
      <c r="T37" s="91">
        <f>IFERROR((S37/S25),0)</f>
        <v>0</v>
      </c>
      <c r="U37" s="72"/>
      <c r="V37" s="91">
        <f>IFERROR((U37/U25),0)</f>
        <v>0</v>
      </c>
      <c r="W37" s="72"/>
      <c r="X37" s="91">
        <f>IFERROR((W37/W25),0)</f>
        <v>0</v>
      </c>
      <c r="Y37" s="72"/>
      <c r="Z37" s="91">
        <f>IFERROR((Y37/Y25),0)</f>
        <v>0</v>
      </c>
      <c r="AA37" s="73">
        <f t="shared" si="7"/>
        <v>0</v>
      </c>
      <c r="AB37" s="142">
        <f>IFERROR((AA37/AA25),0)</f>
        <v>0</v>
      </c>
    </row>
    <row r="38" spans="1:29" customFormat="1" ht="15" x14ac:dyDescent="0.2">
      <c r="A38" s="75"/>
      <c r="B38" s="138" t="s">
        <v>89</v>
      </c>
      <c r="C38" s="69">
        <f>SUM(C33:C37)</f>
        <v>0</v>
      </c>
      <c r="D38" s="92"/>
      <c r="E38" s="69">
        <f t="shared" ref="E38:AA38" si="8">SUM(E33:E37)</f>
        <v>0</v>
      </c>
      <c r="F38" s="92"/>
      <c r="G38" s="69">
        <f t="shared" si="8"/>
        <v>0</v>
      </c>
      <c r="H38" s="92"/>
      <c r="I38" s="69">
        <f t="shared" si="8"/>
        <v>0</v>
      </c>
      <c r="J38" s="92"/>
      <c r="K38" s="69">
        <f t="shared" si="8"/>
        <v>0</v>
      </c>
      <c r="L38" s="92"/>
      <c r="M38" s="69">
        <f t="shared" si="8"/>
        <v>0</v>
      </c>
      <c r="N38" s="92"/>
      <c r="O38" s="69">
        <f t="shared" si="8"/>
        <v>0</v>
      </c>
      <c r="P38" s="92"/>
      <c r="Q38" s="69">
        <f t="shared" si="8"/>
        <v>0</v>
      </c>
      <c r="R38" s="92"/>
      <c r="S38" s="69">
        <f t="shared" si="8"/>
        <v>0</v>
      </c>
      <c r="T38" s="92"/>
      <c r="U38" s="69">
        <f t="shared" si="8"/>
        <v>0</v>
      </c>
      <c r="V38" s="92"/>
      <c r="W38" s="69">
        <f t="shared" si="8"/>
        <v>0</v>
      </c>
      <c r="X38" s="92"/>
      <c r="Y38" s="69">
        <f t="shared" si="8"/>
        <v>0</v>
      </c>
      <c r="Z38" s="92"/>
      <c r="AA38" s="69">
        <f t="shared" si="8"/>
        <v>0</v>
      </c>
      <c r="AB38" s="143"/>
      <c r="AC38" s="4"/>
    </row>
    <row r="39" spans="1:29" s="67" customFormat="1" x14ac:dyDescent="0.2">
      <c r="B39" s="148"/>
      <c r="C39" s="68"/>
      <c r="D39" s="68"/>
      <c r="E39" s="68"/>
      <c r="F39" s="68"/>
      <c r="G39" s="68"/>
      <c r="H39" s="68"/>
      <c r="I39" s="68"/>
      <c r="J39" s="68"/>
      <c r="K39" s="68"/>
      <c r="L39" s="68"/>
      <c r="M39" s="68"/>
      <c r="N39" s="68"/>
      <c r="O39" s="68"/>
      <c r="P39" s="68"/>
      <c r="Q39" s="68"/>
      <c r="R39" s="68"/>
      <c r="S39" s="68"/>
      <c r="T39" s="68"/>
      <c r="U39" s="68"/>
      <c r="V39" s="68"/>
      <c r="W39" s="68"/>
      <c r="X39" s="68"/>
      <c r="Y39" s="68"/>
      <c r="Z39" s="68"/>
      <c r="AA39" s="66"/>
      <c r="AB39" s="149"/>
    </row>
    <row r="40" spans="1:29" s="48" customFormat="1" ht="15" x14ac:dyDescent="0.2">
      <c r="B40" s="146" t="s">
        <v>90</v>
      </c>
      <c r="C40" s="72"/>
      <c r="D40" s="91">
        <f>IFERROR((C40/C25),0)</f>
        <v>0</v>
      </c>
      <c r="E40" s="72"/>
      <c r="F40" s="91">
        <f>IFERROR((E40/E25),0)</f>
        <v>0</v>
      </c>
      <c r="G40" s="72"/>
      <c r="H40" s="91">
        <f>IFERROR((G40/G25),0)</f>
        <v>0</v>
      </c>
      <c r="I40" s="72"/>
      <c r="J40" s="91">
        <f>IFERROR((I40/I25),0)</f>
        <v>0</v>
      </c>
      <c r="K40" s="72"/>
      <c r="L40" s="91">
        <f>IFERROR((K40/K25),0)</f>
        <v>0</v>
      </c>
      <c r="M40" s="72"/>
      <c r="N40" s="91">
        <f>IFERROR((M40/M25),0)</f>
        <v>0</v>
      </c>
      <c r="O40" s="72"/>
      <c r="P40" s="91">
        <f>IFERROR((O40/O25),0)</f>
        <v>0</v>
      </c>
      <c r="Q40" s="72"/>
      <c r="R40" s="91">
        <f>IFERROR((Q40/Q25),0)</f>
        <v>0</v>
      </c>
      <c r="S40" s="72"/>
      <c r="T40" s="91">
        <f>IFERROR((S40/S25),0)</f>
        <v>0</v>
      </c>
      <c r="U40" s="72"/>
      <c r="V40" s="91">
        <f>IFERROR((U40/U25),0)</f>
        <v>0</v>
      </c>
      <c r="W40" s="72"/>
      <c r="X40" s="91">
        <f>IFERROR((W40/W25),0)</f>
        <v>0</v>
      </c>
      <c r="Y40" s="72"/>
      <c r="Z40" s="91">
        <f>IFERROR((Y40/Y25),0)</f>
        <v>0</v>
      </c>
      <c r="AA40" s="73">
        <f t="shared" ref="AA40:AA42" si="9">SUM(C40,E40,G40,I40,K40,M40,O40,Q40,S40,U40,W40,Y40)</f>
        <v>0</v>
      </c>
      <c r="AB40" s="142">
        <f>IFERROR((AA40/AA25),0)</f>
        <v>0</v>
      </c>
    </row>
    <row r="41" spans="1:29" s="48" customFormat="1" ht="15" x14ac:dyDescent="0.2">
      <c r="B41" s="146" t="s">
        <v>91</v>
      </c>
      <c r="C41" s="72"/>
      <c r="D41" s="91">
        <f>IFERROR((C41/C25),0)</f>
        <v>0</v>
      </c>
      <c r="E41" s="72"/>
      <c r="F41" s="91">
        <f>IFERROR((E41/E25),0)</f>
        <v>0</v>
      </c>
      <c r="G41" s="72"/>
      <c r="H41" s="91">
        <f>IFERROR((G41/G25),0)</f>
        <v>0</v>
      </c>
      <c r="I41" s="72"/>
      <c r="J41" s="91">
        <f>IFERROR((I41/I25),0)</f>
        <v>0</v>
      </c>
      <c r="K41" s="72"/>
      <c r="L41" s="91">
        <f>IFERROR((K41/K25),0)</f>
        <v>0</v>
      </c>
      <c r="M41" s="72"/>
      <c r="N41" s="91">
        <f>IFERROR((M41/M25),0)</f>
        <v>0</v>
      </c>
      <c r="O41" s="72"/>
      <c r="P41" s="91">
        <f>IFERROR((O41/O25),0)</f>
        <v>0</v>
      </c>
      <c r="Q41" s="72"/>
      <c r="R41" s="91">
        <f>IFERROR((Q41/Q25),0)</f>
        <v>0</v>
      </c>
      <c r="S41" s="72"/>
      <c r="T41" s="91">
        <f>IFERROR((S41/S25),0)</f>
        <v>0</v>
      </c>
      <c r="U41" s="72"/>
      <c r="V41" s="91">
        <f>IFERROR((U41/U25),0)</f>
        <v>0</v>
      </c>
      <c r="W41" s="72"/>
      <c r="X41" s="91">
        <f>IFERROR((W41/W25),0)</f>
        <v>0</v>
      </c>
      <c r="Y41" s="72"/>
      <c r="Z41" s="91">
        <f>IFERROR((Y41/Y25),0)</f>
        <v>0</v>
      </c>
      <c r="AA41" s="73">
        <f t="shared" si="9"/>
        <v>0</v>
      </c>
      <c r="AB41" s="142">
        <f>IFERROR((AA41/AA25),0)</f>
        <v>0</v>
      </c>
    </row>
    <row r="42" spans="1:29" s="48" customFormat="1" ht="15" x14ac:dyDescent="0.2">
      <c r="B42" s="146" t="s">
        <v>92</v>
      </c>
      <c r="C42" s="72"/>
      <c r="D42" s="91">
        <f>IFERROR((C42/C25),0)</f>
        <v>0</v>
      </c>
      <c r="E42" s="72"/>
      <c r="F42" s="91">
        <f>IFERROR((E42/E25),0)</f>
        <v>0</v>
      </c>
      <c r="G42" s="72"/>
      <c r="H42" s="91">
        <f>IFERROR((G42/G25),0)</f>
        <v>0</v>
      </c>
      <c r="I42" s="72"/>
      <c r="J42" s="91">
        <f>IFERROR((I42/I25),0)</f>
        <v>0</v>
      </c>
      <c r="K42" s="72"/>
      <c r="L42" s="91">
        <f>IFERROR((K42/K25),0)</f>
        <v>0</v>
      </c>
      <c r="M42" s="72"/>
      <c r="N42" s="91">
        <f>IFERROR((M42/M25),0)</f>
        <v>0</v>
      </c>
      <c r="O42" s="72"/>
      <c r="P42" s="91">
        <f>IFERROR((O42/O25),0)</f>
        <v>0</v>
      </c>
      <c r="Q42" s="72"/>
      <c r="R42" s="91">
        <f>IFERROR((Q42/Q25),0)</f>
        <v>0</v>
      </c>
      <c r="S42" s="72"/>
      <c r="T42" s="91">
        <f>IFERROR((S42/S25),0)</f>
        <v>0</v>
      </c>
      <c r="U42" s="72"/>
      <c r="V42" s="91">
        <f>IFERROR((U42/U25),0)</f>
        <v>0</v>
      </c>
      <c r="W42" s="72"/>
      <c r="X42" s="91">
        <f>IFERROR((W42/W25),0)</f>
        <v>0</v>
      </c>
      <c r="Y42" s="72"/>
      <c r="Z42" s="91">
        <f>IFERROR((Y42/Y25),0)</f>
        <v>0</v>
      </c>
      <c r="AA42" s="73">
        <f t="shared" si="9"/>
        <v>0</v>
      </c>
      <c r="AB42" s="142">
        <f>IFERROR((AA42/AA25),0)</f>
        <v>0</v>
      </c>
    </row>
    <row r="43" spans="1:29" s="48" customFormat="1" ht="6.5" customHeight="1" x14ac:dyDescent="0.2">
      <c r="B43" s="146"/>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147"/>
    </row>
    <row r="44" spans="1:29" s="76" customFormat="1" ht="15" x14ac:dyDescent="0.2">
      <c r="A44" s="87"/>
      <c r="B44" s="150" t="s">
        <v>0</v>
      </c>
      <c r="C44" s="69">
        <f>SUM(C25+C28+C31+C38+C40+C41+C42)</f>
        <v>0</v>
      </c>
      <c r="D44" s="92">
        <f>IFERROR((C44/C25),0)</f>
        <v>0</v>
      </c>
      <c r="E44" s="69">
        <f t="shared" ref="E44:AA44" si="10">SUM(E25+E28+E31+E38+E40+E41+E42)</f>
        <v>0</v>
      </c>
      <c r="F44" s="92">
        <f>IFERROR((E44/E25),0)</f>
        <v>0</v>
      </c>
      <c r="G44" s="69">
        <f t="shared" si="10"/>
        <v>0</v>
      </c>
      <c r="H44" s="92">
        <f>-IFERROR((G44/G25),0)</f>
        <v>0</v>
      </c>
      <c r="I44" s="69">
        <f t="shared" si="10"/>
        <v>0</v>
      </c>
      <c r="J44" s="92">
        <f>-IFERROR((I44/I25),0)</f>
        <v>0</v>
      </c>
      <c r="K44" s="69">
        <f t="shared" si="10"/>
        <v>0</v>
      </c>
      <c r="L44" s="92">
        <f>-IFERROR((K44/K25),0)</f>
        <v>0</v>
      </c>
      <c r="M44" s="69">
        <f t="shared" si="10"/>
        <v>0</v>
      </c>
      <c r="N44" s="92">
        <f>-IFERROR((M44/M25),0)</f>
        <v>0</v>
      </c>
      <c r="O44" s="69">
        <f t="shared" si="10"/>
        <v>0</v>
      </c>
      <c r="P44" s="92">
        <f>-IFERROR((O44/O25),0)</f>
        <v>0</v>
      </c>
      <c r="Q44" s="69">
        <f t="shared" si="10"/>
        <v>0</v>
      </c>
      <c r="R44" s="92">
        <f>-IFERROR((Q44/Q25),0)</f>
        <v>0</v>
      </c>
      <c r="S44" s="69">
        <f t="shared" si="10"/>
        <v>0</v>
      </c>
      <c r="T44" s="92">
        <f>-IFERROR((S44/S25),0)</f>
        <v>0</v>
      </c>
      <c r="U44" s="69">
        <f t="shared" si="10"/>
        <v>0</v>
      </c>
      <c r="V44" s="92">
        <f>-IFERROR((U44/U25),0)</f>
        <v>0</v>
      </c>
      <c r="W44" s="69">
        <f t="shared" si="10"/>
        <v>0</v>
      </c>
      <c r="X44" s="92">
        <f>-IFERROR((W44/W25),0)</f>
        <v>0</v>
      </c>
      <c r="Y44" s="69">
        <f t="shared" si="10"/>
        <v>0</v>
      </c>
      <c r="Z44" s="92">
        <f>-IFERROR((Y44/Y25),0)</f>
        <v>0</v>
      </c>
      <c r="AA44" s="69">
        <f t="shared" si="10"/>
        <v>0</v>
      </c>
      <c r="AB44" s="143">
        <f>-IFERROR((AA44/AA25),0)</f>
        <v>0</v>
      </c>
    </row>
    <row r="45" spans="1:29" x14ac:dyDescent="0.2">
      <c r="B45" s="144"/>
      <c r="C45" s="65"/>
      <c r="D45" s="65"/>
      <c r="E45" s="65"/>
      <c r="F45" s="65"/>
      <c r="G45" s="65"/>
      <c r="H45" s="65"/>
      <c r="I45" s="65"/>
      <c r="J45" s="65"/>
      <c r="K45" s="65"/>
      <c r="L45" s="65"/>
      <c r="M45" s="65"/>
      <c r="N45" s="65"/>
      <c r="O45" s="65"/>
      <c r="P45" s="65"/>
      <c r="Q45" s="65"/>
      <c r="R45" s="65"/>
      <c r="S45" s="65"/>
      <c r="T45" s="65"/>
      <c r="U45" s="65"/>
      <c r="V45" s="65"/>
      <c r="W45" s="65"/>
      <c r="X45" s="65"/>
      <c r="Y45" s="65"/>
      <c r="Z45" s="65"/>
      <c r="AA45" s="66"/>
      <c r="AB45" s="145"/>
    </row>
    <row r="46" spans="1:29" x14ac:dyDescent="0.2">
      <c r="B46" s="144"/>
      <c r="C46" s="65"/>
      <c r="D46" s="65"/>
      <c r="E46" s="65"/>
      <c r="F46" s="65"/>
      <c r="G46" s="65"/>
      <c r="H46" s="65"/>
      <c r="I46" s="65"/>
      <c r="J46" s="65"/>
      <c r="K46" s="65"/>
      <c r="L46" s="65"/>
      <c r="M46" s="65"/>
      <c r="N46" s="65"/>
      <c r="O46" s="65"/>
      <c r="P46" s="65"/>
      <c r="Q46" s="65"/>
      <c r="R46" s="65"/>
      <c r="S46" s="65"/>
      <c r="T46" s="65"/>
      <c r="U46" s="65"/>
      <c r="V46" s="65"/>
      <c r="W46" s="65"/>
      <c r="X46" s="65"/>
      <c r="Y46" s="65"/>
      <c r="Z46" s="65"/>
      <c r="AA46" s="66"/>
      <c r="AB46" s="145"/>
    </row>
    <row r="47" spans="1:29" x14ac:dyDescent="0.2">
      <c r="B47" s="216" t="s">
        <v>65</v>
      </c>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151"/>
    </row>
    <row r="48" spans="1:29" x14ac:dyDescent="0.2">
      <c r="B48" s="152"/>
      <c r="AB48" s="153"/>
    </row>
    <row r="49" spans="1:29" s="2" customFormat="1" thickBot="1" x14ac:dyDescent="0.25">
      <c r="A49" s="7"/>
      <c r="B49" s="132"/>
      <c r="C49" s="81" t="s">
        <v>5</v>
      </c>
      <c r="D49" s="81"/>
      <c r="E49" s="81" t="s">
        <v>6</v>
      </c>
      <c r="F49" s="81"/>
      <c r="G49" s="81" t="s">
        <v>7</v>
      </c>
      <c r="H49" s="81"/>
      <c r="I49" s="81" t="s">
        <v>8</v>
      </c>
      <c r="J49" s="81"/>
      <c r="K49" s="81" t="s">
        <v>9</v>
      </c>
      <c r="L49" s="81"/>
      <c r="M49" s="81" t="s">
        <v>10</v>
      </c>
      <c r="N49" s="81"/>
      <c r="O49" s="81" t="s">
        <v>11</v>
      </c>
      <c r="P49" s="81"/>
      <c r="Q49" s="81" t="s">
        <v>12</v>
      </c>
      <c r="R49" s="81"/>
      <c r="S49" s="81" t="s">
        <v>13</v>
      </c>
      <c r="T49" s="81"/>
      <c r="U49" s="81" t="s">
        <v>14</v>
      </c>
      <c r="V49" s="81"/>
      <c r="W49" s="81" t="s">
        <v>15</v>
      </c>
      <c r="X49" s="81"/>
      <c r="Y49" s="81" t="s">
        <v>16</v>
      </c>
      <c r="Z49" s="81"/>
      <c r="AA49" s="81" t="s">
        <v>37</v>
      </c>
      <c r="AB49" s="133"/>
    </row>
    <row r="50" spans="1:29" customFormat="1" thickTop="1" x14ac:dyDescent="0.2">
      <c r="A50" s="75"/>
      <c r="B50" s="154" t="s">
        <v>94</v>
      </c>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155"/>
      <c r="AC50" s="5"/>
    </row>
    <row r="51" spans="1:29" customFormat="1" ht="15" x14ac:dyDescent="0.2">
      <c r="A51" s="75">
        <v>266</v>
      </c>
      <c r="B51" s="134" t="s">
        <v>95</v>
      </c>
      <c r="C51" s="83"/>
      <c r="D51" s="83"/>
      <c r="E51" s="83"/>
      <c r="F51" s="83"/>
      <c r="G51" s="83"/>
      <c r="H51" s="83"/>
      <c r="I51" s="83"/>
      <c r="J51" s="83"/>
      <c r="K51" s="83"/>
      <c r="L51" s="83"/>
      <c r="M51" s="83"/>
      <c r="N51" s="83"/>
      <c r="O51" s="83"/>
      <c r="P51" s="83"/>
      <c r="Q51" s="83"/>
      <c r="R51" s="83"/>
      <c r="S51" s="83"/>
      <c r="T51" s="83"/>
      <c r="U51" s="83"/>
      <c r="V51" s="83"/>
      <c r="W51" s="83"/>
      <c r="X51" s="83"/>
      <c r="Y51" s="83"/>
      <c r="Z51" s="83"/>
      <c r="AA51" s="83">
        <f>Y51</f>
        <v>0</v>
      </c>
      <c r="AB51" s="156"/>
    </row>
    <row r="52" spans="1:29" customFormat="1" ht="15" x14ac:dyDescent="0.2">
      <c r="A52" s="75"/>
      <c r="B52" s="157" t="s">
        <v>96</v>
      </c>
      <c r="C52" s="84"/>
      <c r="D52" s="84"/>
      <c r="E52" s="84"/>
      <c r="F52" s="84"/>
      <c r="G52" s="84"/>
      <c r="H52" s="84"/>
      <c r="I52" s="84"/>
      <c r="J52" s="84"/>
      <c r="K52" s="84"/>
      <c r="L52" s="84"/>
      <c r="M52" s="84"/>
      <c r="N52" s="84"/>
      <c r="O52" s="84"/>
      <c r="P52" s="84"/>
      <c r="Q52" s="84"/>
      <c r="R52" s="84"/>
      <c r="S52" s="84"/>
      <c r="T52" s="84"/>
      <c r="U52" s="84"/>
      <c r="V52" s="84"/>
      <c r="W52" s="84"/>
      <c r="X52" s="84"/>
      <c r="Y52" s="84"/>
      <c r="Z52" s="84"/>
      <c r="AA52" s="84">
        <f>Y52</f>
        <v>0</v>
      </c>
      <c r="AB52" s="158"/>
    </row>
    <row r="53" spans="1:29" s="48" customFormat="1" ht="15" x14ac:dyDescent="0.2">
      <c r="B53" s="159" t="s">
        <v>97</v>
      </c>
      <c r="C53" s="85">
        <f>C52-C51</f>
        <v>0</v>
      </c>
      <c r="D53" s="85"/>
      <c r="E53" s="85">
        <f>E52-E51</f>
        <v>0</v>
      </c>
      <c r="F53" s="85"/>
      <c r="G53" s="85">
        <f t="shared" ref="G53:Y53" si="11">G52-G51</f>
        <v>0</v>
      </c>
      <c r="H53" s="85"/>
      <c r="I53" s="85">
        <f t="shared" si="11"/>
        <v>0</v>
      </c>
      <c r="J53" s="85"/>
      <c r="K53" s="85">
        <f t="shared" si="11"/>
        <v>0</v>
      </c>
      <c r="L53" s="85"/>
      <c r="M53" s="85">
        <f t="shared" si="11"/>
        <v>0</v>
      </c>
      <c r="N53" s="85"/>
      <c r="O53" s="85">
        <f t="shared" si="11"/>
        <v>0</v>
      </c>
      <c r="P53" s="85"/>
      <c r="Q53" s="85">
        <f t="shared" si="11"/>
        <v>0</v>
      </c>
      <c r="R53" s="85"/>
      <c r="S53" s="85">
        <f t="shared" si="11"/>
        <v>0</v>
      </c>
      <c r="T53" s="85"/>
      <c r="U53" s="85">
        <f t="shared" si="11"/>
        <v>0</v>
      </c>
      <c r="V53" s="85"/>
      <c r="W53" s="85">
        <f>W52-W51</f>
        <v>0</v>
      </c>
      <c r="X53" s="85"/>
      <c r="Y53" s="85">
        <f t="shared" si="11"/>
        <v>0</v>
      </c>
      <c r="Z53" s="85"/>
      <c r="AA53" s="85">
        <f>AA52-AA51</f>
        <v>0</v>
      </c>
      <c r="AB53" s="160"/>
    </row>
    <row r="54" spans="1:29" x14ac:dyDescent="0.2">
      <c r="B54" s="148"/>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B54" s="162"/>
    </row>
    <row r="55" spans="1:29" x14ac:dyDescent="0.2">
      <c r="B55" s="216" t="s">
        <v>93</v>
      </c>
      <c r="C55" s="217"/>
      <c r="D55" s="217"/>
      <c r="E55" s="217"/>
      <c r="F55" s="217"/>
      <c r="G55" s="217"/>
      <c r="H55" s="217"/>
      <c r="I55" s="217"/>
      <c r="J55" s="217"/>
      <c r="K55" s="217"/>
      <c r="L55" s="217"/>
      <c r="M55" s="217"/>
      <c r="N55" s="217"/>
      <c r="O55" s="217"/>
      <c r="P55" s="217"/>
      <c r="Q55" s="217"/>
      <c r="R55" s="217"/>
      <c r="S55" s="217"/>
      <c r="T55" s="217"/>
      <c r="U55" s="217"/>
      <c r="V55" s="217"/>
      <c r="W55" s="217"/>
      <c r="X55" s="217"/>
      <c r="Y55" s="217"/>
      <c r="Z55" s="217"/>
      <c r="AA55" s="217"/>
      <c r="AB55" s="151"/>
    </row>
    <row r="56" spans="1:29" ht="13.75" customHeight="1" x14ac:dyDescent="0.2">
      <c r="B56" s="163"/>
      <c r="C56" s="6"/>
      <c r="D56" s="6"/>
      <c r="E56" s="6"/>
      <c r="F56" s="6"/>
      <c r="G56" s="6"/>
      <c r="H56" s="6"/>
      <c r="I56" s="6"/>
      <c r="J56" s="6"/>
      <c r="K56" s="6"/>
      <c r="L56" s="6"/>
      <c r="M56" s="6"/>
      <c r="N56" s="6"/>
      <c r="O56" s="6"/>
      <c r="P56" s="6"/>
      <c r="Q56" s="6"/>
      <c r="R56" s="6"/>
      <c r="S56" s="6"/>
      <c r="T56" s="6"/>
      <c r="U56" s="6"/>
      <c r="V56" s="6"/>
      <c r="W56" s="6"/>
      <c r="X56" s="6"/>
      <c r="Y56" s="6"/>
      <c r="Z56" s="6"/>
      <c r="AA56" s="6"/>
      <c r="AB56" s="164"/>
    </row>
    <row r="57" spans="1:29" s="2" customFormat="1" ht="15" x14ac:dyDescent="0.2">
      <c r="A57" s="7"/>
      <c r="B57" s="132"/>
      <c r="C57" s="81" t="s">
        <v>5</v>
      </c>
      <c r="D57" s="81"/>
      <c r="E57" s="81" t="s">
        <v>6</v>
      </c>
      <c r="F57" s="81"/>
      <c r="G57" s="81" t="s">
        <v>7</v>
      </c>
      <c r="H57" s="81"/>
      <c r="I57" s="81" t="s">
        <v>8</v>
      </c>
      <c r="J57" s="81"/>
      <c r="K57" s="81" t="s">
        <v>9</v>
      </c>
      <c r="L57" s="81"/>
      <c r="M57" s="81" t="s">
        <v>10</v>
      </c>
      <c r="N57" s="81"/>
      <c r="O57" s="81" t="s">
        <v>11</v>
      </c>
      <c r="P57" s="81"/>
      <c r="Q57" s="81" t="s">
        <v>12</v>
      </c>
      <c r="R57" s="81"/>
      <c r="S57" s="81" t="s">
        <v>13</v>
      </c>
      <c r="T57" s="81"/>
      <c r="U57" s="81" t="s">
        <v>14</v>
      </c>
      <c r="V57" s="81"/>
      <c r="W57" s="81" t="s">
        <v>15</v>
      </c>
      <c r="X57" s="81"/>
      <c r="Y57" s="81" t="s">
        <v>16</v>
      </c>
      <c r="Z57" s="81"/>
      <c r="AA57" s="81" t="s">
        <v>37</v>
      </c>
      <c r="AB57" s="133"/>
    </row>
    <row r="58" spans="1:29" ht="6.75" customHeight="1" x14ac:dyDescent="0.2">
      <c r="B58" s="165"/>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7"/>
    </row>
    <row r="59" spans="1:29" s="76" customFormat="1" ht="15" x14ac:dyDescent="0.2">
      <c r="A59" s="87"/>
      <c r="B59" s="150" t="s">
        <v>17</v>
      </c>
      <c r="C59" s="69">
        <f>C44</f>
        <v>0</v>
      </c>
      <c r="D59" s="69"/>
      <c r="E59" s="69">
        <f>E44</f>
        <v>0</v>
      </c>
      <c r="F59" s="69"/>
      <c r="G59" s="69">
        <f t="shared" ref="E59:Y59" si="12">G44</f>
        <v>0</v>
      </c>
      <c r="H59" s="69"/>
      <c r="I59" s="69">
        <f t="shared" si="12"/>
        <v>0</v>
      </c>
      <c r="J59" s="69"/>
      <c r="K59" s="69">
        <f t="shared" si="12"/>
        <v>0</v>
      </c>
      <c r="L59" s="69"/>
      <c r="M59" s="69">
        <f t="shared" si="12"/>
        <v>0</v>
      </c>
      <c r="N59" s="69"/>
      <c r="O59" s="69">
        <f t="shared" si="12"/>
        <v>0</v>
      </c>
      <c r="P59" s="69"/>
      <c r="Q59" s="69">
        <f t="shared" si="12"/>
        <v>0</v>
      </c>
      <c r="R59" s="69"/>
      <c r="S59" s="69">
        <f t="shared" si="12"/>
        <v>0</v>
      </c>
      <c r="T59" s="69"/>
      <c r="U59" s="69">
        <f t="shared" si="12"/>
        <v>0</v>
      </c>
      <c r="V59" s="69"/>
      <c r="W59" s="69">
        <f t="shared" si="12"/>
        <v>0</v>
      </c>
      <c r="X59" s="69"/>
      <c r="Y59" s="69">
        <f t="shared" si="12"/>
        <v>0</v>
      </c>
      <c r="Z59" s="69"/>
      <c r="AA59" s="69">
        <f>AA44</f>
        <v>0</v>
      </c>
      <c r="AB59" s="168"/>
    </row>
    <row r="60" spans="1:29" s="76" customFormat="1" ht="6.75" customHeight="1" x14ac:dyDescent="0.2">
      <c r="A60" s="87"/>
      <c r="B60" s="169"/>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170"/>
    </row>
    <row r="61" spans="1:29" s="76" customFormat="1" ht="15" x14ac:dyDescent="0.2">
      <c r="A61" s="87"/>
      <c r="B61" s="150" t="s">
        <v>18</v>
      </c>
      <c r="C61" s="69">
        <f>C59</f>
        <v>0</v>
      </c>
      <c r="D61" s="69"/>
      <c r="E61" s="69">
        <f>E59+C61</f>
        <v>0</v>
      </c>
      <c r="F61" s="69"/>
      <c r="G61" s="69">
        <f>G59+E61</f>
        <v>0</v>
      </c>
      <c r="H61" s="69"/>
      <c r="I61" s="69">
        <f>I59+G61</f>
        <v>0</v>
      </c>
      <c r="J61" s="69"/>
      <c r="K61" s="69">
        <f>K59+I61</f>
        <v>0</v>
      </c>
      <c r="L61" s="69"/>
      <c r="M61" s="69">
        <f>M59+K61</f>
        <v>0</v>
      </c>
      <c r="N61" s="69"/>
      <c r="O61" s="69">
        <f t="shared" ref="O61" si="13">O59+M61</f>
        <v>0</v>
      </c>
      <c r="P61" s="69"/>
      <c r="Q61" s="69">
        <f>Q59+O61</f>
        <v>0</v>
      </c>
      <c r="R61" s="69"/>
      <c r="S61" s="69">
        <f>S59+Q61</f>
        <v>0</v>
      </c>
      <c r="T61" s="69"/>
      <c r="U61" s="69">
        <f>U59+S61</f>
        <v>0</v>
      </c>
      <c r="V61" s="69"/>
      <c r="W61" s="69">
        <f>W59+U61</f>
        <v>0</v>
      </c>
      <c r="X61" s="69"/>
      <c r="Y61" s="69">
        <f>Y59+W61</f>
        <v>0</v>
      </c>
      <c r="Z61" s="69"/>
      <c r="AA61" s="69">
        <f>Y61</f>
        <v>0</v>
      </c>
      <c r="AB61" s="168"/>
    </row>
    <row r="62" spans="1:29" x14ac:dyDescent="0.2">
      <c r="B62" s="140"/>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2"/>
      <c r="AB62" s="173"/>
    </row>
    <row r="63" spans="1:29" customFormat="1" ht="15" x14ac:dyDescent="0.2">
      <c r="A63" s="75"/>
      <c r="B63" s="174" t="s">
        <v>21</v>
      </c>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6"/>
    </row>
    <row r="64" spans="1:29" s="1" customFormat="1" ht="15" x14ac:dyDescent="0.2">
      <c r="A64" s="59">
        <v>6119</v>
      </c>
      <c r="B64" s="177" t="s">
        <v>22</v>
      </c>
      <c r="C64" s="178">
        <f>'Adições e Exclusões'!C10</f>
        <v>0</v>
      </c>
      <c r="D64" s="178"/>
      <c r="E64" s="178">
        <f>'Adições e Exclusões'!D9</f>
        <v>0</v>
      </c>
      <c r="F64" s="178"/>
      <c r="G64" s="178">
        <f>'Adições e Exclusões'!E10</f>
        <v>0</v>
      </c>
      <c r="H64" s="178"/>
      <c r="I64" s="178">
        <f>'Adições e Exclusões'!F10</f>
        <v>0</v>
      </c>
      <c r="J64" s="178"/>
      <c r="K64" s="178">
        <f>'Adições e Exclusões'!G9</f>
        <v>0</v>
      </c>
      <c r="L64" s="178"/>
      <c r="M64" s="78">
        <f>'Adições e Exclusões'!H10</f>
        <v>0</v>
      </c>
      <c r="N64" s="178"/>
      <c r="O64" s="178">
        <f>'Adições e Exclusões'!I10</f>
        <v>0</v>
      </c>
      <c r="P64" s="178"/>
      <c r="Q64" s="178">
        <f>'Adições e Exclusões'!J9</f>
        <v>0</v>
      </c>
      <c r="R64" s="178"/>
      <c r="S64" s="178">
        <f>'Adições e Exclusões'!K10</f>
        <v>0</v>
      </c>
      <c r="T64" s="178"/>
      <c r="U64" s="178">
        <f>'Adições e Exclusões'!L10</f>
        <v>0</v>
      </c>
      <c r="V64" s="178"/>
      <c r="W64" s="178">
        <f>'Adições e Exclusões'!M10</f>
        <v>0</v>
      </c>
      <c r="X64" s="178"/>
      <c r="Y64" s="178">
        <f>'Adições e Exclusões'!N10</f>
        <v>0</v>
      </c>
      <c r="Z64" s="178"/>
      <c r="AA64" s="179">
        <f>'Adições e Exclusões'!O10</f>
        <v>0</v>
      </c>
      <c r="AB64" s="180"/>
    </row>
    <row r="65" spans="1:33" s="1" customFormat="1" ht="15" x14ac:dyDescent="0.2">
      <c r="A65" s="59">
        <v>6250</v>
      </c>
      <c r="B65" s="177" t="s">
        <v>57</v>
      </c>
      <c r="C65" s="178">
        <f>'Adições e Exclusões'!C11</f>
        <v>0</v>
      </c>
      <c r="D65" s="178"/>
      <c r="E65" s="178">
        <f>'Adições e Exclusões'!D10</f>
        <v>0</v>
      </c>
      <c r="F65" s="178"/>
      <c r="G65" s="178">
        <f>'Adições e Exclusões'!E11</f>
        <v>0</v>
      </c>
      <c r="H65" s="178"/>
      <c r="I65" s="178">
        <f>'Adições e Exclusões'!F11</f>
        <v>0</v>
      </c>
      <c r="J65" s="178"/>
      <c r="K65" s="178">
        <f>'Adições e Exclusões'!G10</f>
        <v>0</v>
      </c>
      <c r="L65" s="178"/>
      <c r="M65" s="78">
        <f>'Adições e Exclusões'!H11</f>
        <v>0</v>
      </c>
      <c r="N65" s="178"/>
      <c r="O65" s="178">
        <f>'Adições e Exclusões'!I11</f>
        <v>0</v>
      </c>
      <c r="P65" s="178"/>
      <c r="Q65" s="178">
        <f>'Adições e Exclusões'!J10</f>
        <v>0</v>
      </c>
      <c r="R65" s="178"/>
      <c r="S65" s="178">
        <f>'Adições e Exclusões'!K11</f>
        <v>0</v>
      </c>
      <c r="T65" s="178"/>
      <c r="U65" s="178">
        <f>'Adições e Exclusões'!L11</f>
        <v>0</v>
      </c>
      <c r="V65" s="178"/>
      <c r="W65" s="178">
        <f>'Adições e Exclusões'!M11</f>
        <v>0</v>
      </c>
      <c r="X65" s="178"/>
      <c r="Y65" s="178">
        <f>'Adições e Exclusões'!N11</f>
        <v>0</v>
      </c>
      <c r="Z65" s="178"/>
      <c r="AA65" s="179">
        <f>'Adições e Exclusões'!O11</f>
        <v>0</v>
      </c>
      <c r="AB65" s="180"/>
    </row>
    <row r="66" spans="1:33" s="1" customFormat="1" ht="15" x14ac:dyDescent="0.2">
      <c r="A66" s="59">
        <v>6109</v>
      </c>
      <c r="B66" s="177" t="s">
        <v>55</v>
      </c>
      <c r="C66" s="178">
        <f>'Adições e Exclusões'!C12</f>
        <v>0</v>
      </c>
      <c r="D66" s="178"/>
      <c r="E66" s="178">
        <f>'Adições e Exclusões'!D11</f>
        <v>0</v>
      </c>
      <c r="F66" s="178"/>
      <c r="G66" s="178">
        <f>'Adições e Exclusões'!E12</f>
        <v>0</v>
      </c>
      <c r="H66" s="178"/>
      <c r="I66" s="178">
        <f>'Adições e Exclusões'!F12</f>
        <v>0</v>
      </c>
      <c r="J66" s="178"/>
      <c r="K66" s="178">
        <f>'Adições e Exclusões'!G11</f>
        <v>0</v>
      </c>
      <c r="L66" s="178"/>
      <c r="M66" s="78">
        <f>'Adições e Exclusões'!H12</f>
        <v>0</v>
      </c>
      <c r="N66" s="178"/>
      <c r="O66" s="178">
        <f>'Adições e Exclusões'!I12</f>
        <v>0</v>
      </c>
      <c r="P66" s="178"/>
      <c r="Q66" s="178">
        <f>'Adições e Exclusões'!J11</f>
        <v>0</v>
      </c>
      <c r="R66" s="178"/>
      <c r="S66" s="178">
        <f>'Adições e Exclusões'!K12</f>
        <v>0</v>
      </c>
      <c r="T66" s="178"/>
      <c r="U66" s="178">
        <f>'Adições e Exclusões'!L12</f>
        <v>0</v>
      </c>
      <c r="V66" s="178"/>
      <c r="W66" s="178">
        <f>'Adições e Exclusões'!M12</f>
        <v>0</v>
      </c>
      <c r="X66" s="178"/>
      <c r="Y66" s="178">
        <f>'Adições e Exclusões'!N12</f>
        <v>0</v>
      </c>
      <c r="Z66" s="178"/>
      <c r="AA66" s="179">
        <f>'Adições e Exclusões'!O12</f>
        <v>0</v>
      </c>
      <c r="AB66" s="180"/>
    </row>
    <row r="67" spans="1:33" s="1" customFormat="1" ht="15" x14ac:dyDescent="0.2">
      <c r="A67" s="59">
        <v>6257</v>
      </c>
      <c r="B67" s="177" t="s">
        <v>54</v>
      </c>
      <c r="C67" s="178">
        <f>'Adições e Exclusões'!C13</f>
        <v>0</v>
      </c>
      <c r="D67" s="178"/>
      <c r="E67" s="178">
        <f>'Adições e Exclusões'!D12</f>
        <v>0</v>
      </c>
      <c r="F67" s="178"/>
      <c r="G67" s="178">
        <f>'Adições e Exclusões'!E13</f>
        <v>0</v>
      </c>
      <c r="H67" s="178"/>
      <c r="I67" s="178">
        <f>'Adições e Exclusões'!F13</f>
        <v>0</v>
      </c>
      <c r="J67" s="178"/>
      <c r="K67" s="178">
        <f>'Adições e Exclusões'!G12</f>
        <v>0</v>
      </c>
      <c r="L67" s="178"/>
      <c r="M67" s="78">
        <f>'Adições e Exclusões'!H13</f>
        <v>0</v>
      </c>
      <c r="N67" s="178"/>
      <c r="O67" s="178">
        <f>'Adições e Exclusões'!I13</f>
        <v>0</v>
      </c>
      <c r="P67" s="178"/>
      <c r="Q67" s="178">
        <f>'Adições e Exclusões'!J12</f>
        <v>0</v>
      </c>
      <c r="R67" s="178"/>
      <c r="S67" s="178">
        <f>'Adições e Exclusões'!K13</f>
        <v>0</v>
      </c>
      <c r="T67" s="178"/>
      <c r="U67" s="178">
        <f>'Adições e Exclusões'!L13</f>
        <v>0</v>
      </c>
      <c r="V67" s="178"/>
      <c r="W67" s="178">
        <f>'Adições e Exclusões'!M13</f>
        <v>0</v>
      </c>
      <c r="X67" s="178"/>
      <c r="Y67" s="178">
        <f>'Adições e Exclusões'!N13</f>
        <v>0</v>
      </c>
      <c r="Z67" s="178"/>
      <c r="AA67" s="179">
        <f>'Adições e Exclusões'!O13</f>
        <v>0</v>
      </c>
      <c r="AB67" s="180"/>
    </row>
    <row r="68" spans="1:33" s="1" customFormat="1" ht="15" x14ac:dyDescent="0.2">
      <c r="A68" s="59">
        <v>3325</v>
      </c>
      <c r="B68" s="177" t="s">
        <v>58</v>
      </c>
      <c r="C68" s="178">
        <f>'Adições e Exclusões'!C14</f>
        <v>0</v>
      </c>
      <c r="D68" s="178"/>
      <c r="E68" s="178">
        <f>'Adições e Exclusões'!D13</f>
        <v>0</v>
      </c>
      <c r="F68" s="178"/>
      <c r="G68" s="178">
        <f>'Adições e Exclusões'!E14</f>
        <v>0</v>
      </c>
      <c r="H68" s="178"/>
      <c r="I68" s="178">
        <f>'Adições e Exclusões'!F14</f>
        <v>0</v>
      </c>
      <c r="J68" s="178"/>
      <c r="K68" s="178">
        <f>'Adições e Exclusões'!G13</f>
        <v>0</v>
      </c>
      <c r="L68" s="178"/>
      <c r="M68" s="78">
        <f>'Adições e Exclusões'!H14</f>
        <v>0</v>
      </c>
      <c r="N68" s="178"/>
      <c r="O68" s="178">
        <f>'Adições e Exclusões'!I14</f>
        <v>0</v>
      </c>
      <c r="P68" s="178"/>
      <c r="Q68" s="178">
        <f>'Adições e Exclusões'!J13</f>
        <v>0</v>
      </c>
      <c r="R68" s="178"/>
      <c r="S68" s="178">
        <f>'Adições e Exclusões'!K14</f>
        <v>0</v>
      </c>
      <c r="T68" s="178"/>
      <c r="U68" s="178">
        <f>'Adições e Exclusões'!L14</f>
        <v>0</v>
      </c>
      <c r="V68" s="178"/>
      <c r="W68" s="178">
        <f>'Adições e Exclusões'!M14</f>
        <v>0</v>
      </c>
      <c r="X68" s="178"/>
      <c r="Y68" s="178">
        <f>'Adições e Exclusões'!N14</f>
        <v>0</v>
      </c>
      <c r="Z68" s="178"/>
      <c r="AA68" s="179">
        <f>'Adições e Exclusões'!O14</f>
        <v>0</v>
      </c>
      <c r="AB68" s="180"/>
    </row>
    <row r="69" spans="1:33" s="1" customFormat="1" ht="15" x14ac:dyDescent="0.2">
      <c r="A69" s="59"/>
      <c r="B69" s="177" t="s">
        <v>59</v>
      </c>
      <c r="C69" s="178">
        <f>'Adições e Exclusões'!C15</f>
        <v>0</v>
      </c>
      <c r="D69" s="178"/>
      <c r="E69" s="178">
        <f>'Adições e Exclusões'!D14</f>
        <v>0</v>
      </c>
      <c r="F69" s="178"/>
      <c r="G69" s="178">
        <f>'Adições e Exclusões'!E15</f>
        <v>0</v>
      </c>
      <c r="H69" s="178"/>
      <c r="I69" s="178">
        <f>'Adições e Exclusões'!F15</f>
        <v>0</v>
      </c>
      <c r="J69" s="178"/>
      <c r="K69" s="178">
        <f>'Adições e Exclusões'!G14</f>
        <v>0</v>
      </c>
      <c r="L69" s="178"/>
      <c r="M69" s="78">
        <f>'Adições e Exclusões'!H15</f>
        <v>0</v>
      </c>
      <c r="N69" s="178"/>
      <c r="O69" s="178">
        <f>'Adições e Exclusões'!I15</f>
        <v>0</v>
      </c>
      <c r="P69" s="178"/>
      <c r="Q69" s="178">
        <f>'Adições e Exclusões'!J14</f>
        <v>0</v>
      </c>
      <c r="R69" s="178"/>
      <c r="S69" s="178">
        <f>'Adições e Exclusões'!K15</f>
        <v>0</v>
      </c>
      <c r="T69" s="178"/>
      <c r="U69" s="178">
        <f>'Adições e Exclusões'!L15</f>
        <v>0</v>
      </c>
      <c r="V69" s="178"/>
      <c r="W69" s="178">
        <f>'Adições e Exclusões'!M15</f>
        <v>0</v>
      </c>
      <c r="X69" s="178"/>
      <c r="Y69" s="178">
        <f>'Adições e Exclusões'!N15</f>
        <v>0</v>
      </c>
      <c r="Z69" s="178"/>
      <c r="AA69" s="179">
        <f>'Adições e Exclusões'!O15</f>
        <v>0</v>
      </c>
      <c r="AB69" s="180"/>
    </row>
    <row r="70" spans="1:33" customFormat="1" ht="15" x14ac:dyDescent="0.2">
      <c r="A70" s="75"/>
      <c r="B70" s="138" t="s">
        <v>38</v>
      </c>
      <c r="C70" s="69">
        <f>SUM(C64:C69)</f>
        <v>0</v>
      </c>
      <c r="D70" s="69"/>
      <c r="E70" s="69">
        <f>SUM(E64:E69)</f>
        <v>0</v>
      </c>
      <c r="F70" s="69"/>
      <c r="G70" s="69">
        <f>SUM(G64:G69)</f>
        <v>0</v>
      </c>
      <c r="H70" s="69"/>
      <c r="I70" s="69">
        <f t="shared" ref="I70:Y70" si="14">SUM(I64:I69)</f>
        <v>0</v>
      </c>
      <c r="J70" s="69"/>
      <c r="K70" s="69">
        <f t="shared" si="14"/>
        <v>0</v>
      </c>
      <c r="L70" s="69"/>
      <c r="M70" s="69">
        <f t="shared" si="14"/>
        <v>0</v>
      </c>
      <c r="N70" s="69"/>
      <c r="O70" s="69">
        <f t="shared" si="14"/>
        <v>0</v>
      </c>
      <c r="P70" s="69"/>
      <c r="Q70" s="69">
        <f t="shared" si="14"/>
        <v>0</v>
      </c>
      <c r="R70" s="69"/>
      <c r="S70" s="69">
        <f t="shared" si="14"/>
        <v>0</v>
      </c>
      <c r="T70" s="69"/>
      <c r="U70" s="69">
        <f t="shared" si="14"/>
        <v>0</v>
      </c>
      <c r="V70" s="69"/>
      <c r="W70" s="69">
        <f t="shared" si="14"/>
        <v>0</v>
      </c>
      <c r="X70" s="69"/>
      <c r="Y70" s="69">
        <f t="shared" si="14"/>
        <v>0</v>
      </c>
      <c r="Z70" s="69"/>
      <c r="AA70" s="69">
        <f t="shared" ref="AA70" si="15">SUM(AA64:AA69)</f>
        <v>0</v>
      </c>
      <c r="AB70" s="139"/>
      <c r="AC70" s="4"/>
    </row>
    <row r="71" spans="1:33" s="1" customFormat="1" ht="15" x14ac:dyDescent="0.2">
      <c r="A71" s="59"/>
      <c r="B71" s="177"/>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c r="AA71" s="182"/>
      <c r="AB71" s="183"/>
    </row>
    <row r="72" spans="1:33" s="1" customFormat="1" ht="15" x14ac:dyDescent="0.2">
      <c r="A72" s="59"/>
      <c r="B72" s="184" t="s">
        <v>23</v>
      </c>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6"/>
    </row>
    <row r="73" spans="1:33" s="1" customFormat="1" ht="15" x14ac:dyDescent="0.2">
      <c r="A73" s="59">
        <v>5139</v>
      </c>
      <c r="B73" s="177" t="s">
        <v>25</v>
      </c>
      <c r="C73" s="178">
        <f>IFERROR(VLOOKUP($A$73,#REF!,6,0)*-1,0)</f>
        <v>0</v>
      </c>
      <c r="D73" s="178"/>
      <c r="E73" s="178">
        <f>IFERROR(VLOOKUP($A$73,#REF!,6,0)*-1,0)</f>
        <v>0</v>
      </c>
      <c r="F73" s="178"/>
      <c r="G73" s="178">
        <f>IFERROR(VLOOKUP($A$73,#REF!,6,0)*-1,0)</f>
        <v>0</v>
      </c>
      <c r="H73" s="178"/>
      <c r="I73" s="178">
        <f>IFERROR(VLOOKUP($A$73,#REF!,6,0)*-1,0)</f>
        <v>0</v>
      </c>
      <c r="J73" s="178"/>
      <c r="K73" s="178">
        <f>IFERROR(VLOOKUP($A$73,#REF!,6,0)*-1,0)</f>
        <v>0</v>
      </c>
      <c r="L73" s="178"/>
      <c r="M73" s="178">
        <f>IFERROR(VLOOKUP($A$73,#REF!,6,0)*-1,0)</f>
        <v>0</v>
      </c>
      <c r="N73" s="178"/>
      <c r="O73" s="178">
        <f>IFERROR(VLOOKUP($A$73,#REF!,6,0)*-1,0)</f>
        <v>0</v>
      </c>
      <c r="P73" s="178"/>
      <c r="Q73" s="178">
        <f>IFERROR(VLOOKUP($A$73,#REF!,6,0)*-1,0)</f>
        <v>0</v>
      </c>
      <c r="R73" s="178"/>
      <c r="S73" s="178">
        <f>IFERROR(VLOOKUP($A$73,#REF!,6,0)*-1,0)</f>
        <v>0</v>
      </c>
      <c r="T73" s="178"/>
      <c r="U73" s="178">
        <f>IFERROR(VLOOKUP($A$73,#REF!,6,0)*-1,0)</f>
        <v>0</v>
      </c>
      <c r="V73" s="178"/>
      <c r="W73" s="178">
        <f>IFERROR(VLOOKUP($A$73,#REF!,6,0)*-1,0)</f>
        <v>0</v>
      </c>
      <c r="X73" s="178"/>
      <c r="Y73" s="178">
        <f>IFERROR(VLOOKUP($A$73,#REF!,6,0)*-1,0)</f>
        <v>0</v>
      </c>
      <c r="Z73" s="178"/>
      <c r="AA73" s="179">
        <f>SUM(C73:Y73)</f>
        <v>0</v>
      </c>
      <c r="AB73" s="180"/>
    </row>
    <row r="74" spans="1:33" s="1" customFormat="1" ht="15" x14ac:dyDescent="0.2">
      <c r="A74" s="59"/>
      <c r="B74" s="177" t="s">
        <v>24</v>
      </c>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9">
        <f>SUM(C74:Y74)</f>
        <v>0</v>
      </c>
      <c r="AB74" s="180"/>
    </row>
    <row r="75" spans="1:33" customFormat="1" ht="15" x14ac:dyDescent="0.2">
      <c r="A75" s="75"/>
      <c r="B75" s="138" t="s">
        <v>39</v>
      </c>
      <c r="C75" s="69">
        <f>C73+C74</f>
        <v>0</v>
      </c>
      <c r="D75" s="69"/>
      <c r="E75" s="69">
        <f t="shared" ref="E75:Y75" si="16">E73+E74</f>
        <v>0</v>
      </c>
      <c r="F75" s="69"/>
      <c r="G75" s="69">
        <f t="shared" si="16"/>
        <v>0</v>
      </c>
      <c r="H75" s="69"/>
      <c r="I75" s="69">
        <f t="shared" si="16"/>
        <v>0</v>
      </c>
      <c r="J75" s="69"/>
      <c r="K75" s="69">
        <f t="shared" si="16"/>
        <v>0</v>
      </c>
      <c r="L75" s="69"/>
      <c r="M75" s="69">
        <f>M73+M74</f>
        <v>0</v>
      </c>
      <c r="N75" s="69"/>
      <c r="O75" s="69">
        <f t="shared" si="16"/>
        <v>0</v>
      </c>
      <c r="P75" s="69"/>
      <c r="Q75" s="69">
        <f t="shared" si="16"/>
        <v>0</v>
      </c>
      <c r="R75" s="69"/>
      <c r="S75" s="69">
        <f t="shared" si="16"/>
        <v>0</v>
      </c>
      <c r="T75" s="69"/>
      <c r="U75" s="69">
        <f t="shared" si="16"/>
        <v>0</v>
      </c>
      <c r="V75" s="69"/>
      <c r="W75" s="69">
        <f t="shared" si="16"/>
        <v>0</v>
      </c>
      <c r="X75" s="69"/>
      <c r="Y75" s="69">
        <f t="shared" si="16"/>
        <v>0</v>
      </c>
      <c r="Z75" s="69"/>
      <c r="AA75" s="69">
        <f>AA73+AA74</f>
        <v>0</v>
      </c>
      <c r="AB75" s="187"/>
      <c r="AC75" s="4"/>
    </row>
    <row r="76" spans="1:33" customFormat="1" ht="15" x14ac:dyDescent="0.2">
      <c r="A76" s="75"/>
      <c r="B76" s="188"/>
      <c r="C76" s="78"/>
      <c r="D76" s="78"/>
      <c r="E76" s="78"/>
      <c r="F76" s="78"/>
      <c r="G76" s="78"/>
      <c r="H76" s="78"/>
      <c r="I76" s="78"/>
      <c r="J76" s="78"/>
      <c r="K76" s="78"/>
      <c r="L76" s="78"/>
      <c r="M76" s="78"/>
      <c r="N76" s="78"/>
      <c r="O76" s="78"/>
      <c r="P76" s="78"/>
      <c r="Q76" s="78"/>
      <c r="R76" s="78"/>
      <c r="S76" s="78"/>
      <c r="T76" s="78"/>
      <c r="U76" s="78"/>
      <c r="V76" s="78"/>
      <c r="W76" s="78"/>
      <c r="X76" s="78"/>
      <c r="Y76" s="78"/>
      <c r="Z76" s="78"/>
      <c r="AA76" s="73"/>
      <c r="AB76" s="189"/>
    </row>
    <row r="77" spans="1:33" s="76" customFormat="1" ht="15" x14ac:dyDescent="0.2">
      <c r="A77" s="87"/>
      <c r="B77" s="150" t="s">
        <v>51</v>
      </c>
      <c r="C77" s="69">
        <f>IFERROR(C61+C70-C75,0)</f>
        <v>0</v>
      </c>
      <c r="D77" s="69"/>
      <c r="E77" s="69">
        <f t="shared" ref="E77:Y77" si="17">IFERROR(E61+E70-E75,0)</f>
        <v>0</v>
      </c>
      <c r="F77" s="69"/>
      <c r="G77" s="69">
        <f t="shared" si="17"/>
        <v>0</v>
      </c>
      <c r="H77" s="69"/>
      <c r="I77" s="69">
        <f t="shared" si="17"/>
        <v>0</v>
      </c>
      <c r="J77" s="69"/>
      <c r="K77" s="69">
        <f t="shared" si="17"/>
        <v>0</v>
      </c>
      <c r="L77" s="69"/>
      <c r="M77" s="69">
        <f t="shared" si="17"/>
        <v>0</v>
      </c>
      <c r="N77" s="69"/>
      <c r="O77" s="69">
        <f t="shared" si="17"/>
        <v>0</v>
      </c>
      <c r="P77" s="69"/>
      <c r="Q77" s="69">
        <f t="shared" si="17"/>
        <v>0</v>
      </c>
      <c r="R77" s="69"/>
      <c r="S77" s="69">
        <f t="shared" si="17"/>
        <v>0</v>
      </c>
      <c r="T77" s="69"/>
      <c r="U77" s="69">
        <f t="shared" si="17"/>
        <v>0</v>
      </c>
      <c r="V77" s="69"/>
      <c r="W77" s="69">
        <f t="shared" si="17"/>
        <v>0</v>
      </c>
      <c r="X77" s="69"/>
      <c r="Y77" s="69">
        <f t="shared" si="17"/>
        <v>0</v>
      </c>
      <c r="Z77" s="69"/>
      <c r="AA77" s="69">
        <f>Y77</f>
        <v>0</v>
      </c>
      <c r="AB77" s="187"/>
    </row>
    <row r="78" spans="1:33" x14ac:dyDescent="0.2">
      <c r="B78" s="14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c r="AA78" s="191"/>
      <c r="AB78" s="192"/>
      <c r="AC78" s="18"/>
      <c r="AE78" s="12"/>
      <c r="AF78" s="12"/>
      <c r="AG78" s="12"/>
    </row>
    <row r="79" spans="1:33" customFormat="1" ht="15" x14ac:dyDescent="0.2">
      <c r="A79" s="75"/>
      <c r="B79" s="174" t="s">
        <v>26</v>
      </c>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c r="AA79" s="194"/>
      <c r="AB79" s="195"/>
    </row>
    <row r="80" spans="1:33" s="73" customFormat="1" ht="15" x14ac:dyDescent="0.2">
      <c r="A80" s="88"/>
      <c r="B80" s="196" t="s">
        <v>27</v>
      </c>
      <c r="C80" s="178">
        <v>0</v>
      </c>
      <c r="D80" s="178"/>
      <c r="E80" s="178">
        <v>0</v>
      </c>
      <c r="F80" s="178"/>
      <c r="G80" s="178">
        <v>0</v>
      </c>
      <c r="H80" s="178"/>
      <c r="I80" s="178">
        <v>0</v>
      </c>
      <c r="J80" s="178"/>
      <c r="K80" s="178">
        <v>0</v>
      </c>
      <c r="L80" s="178"/>
      <c r="M80" s="178">
        <v>0</v>
      </c>
      <c r="N80" s="178"/>
      <c r="O80" s="178">
        <v>0</v>
      </c>
      <c r="P80" s="178"/>
      <c r="Q80" s="178">
        <v>0</v>
      </c>
      <c r="R80" s="178"/>
      <c r="S80" s="178">
        <v>0</v>
      </c>
      <c r="T80" s="178"/>
      <c r="U80" s="178">
        <v>0</v>
      </c>
      <c r="V80" s="178"/>
      <c r="W80" s="178">
        <v>0</v>
      </c>
      <c r="X80" s="178"/>
      <c r="Y80" s="178">
        <v>0</v>
      </c>
      <c r="Z80" s="178"/>
      <c r="AA80" s="73">
        <f>Y80</f>
        <v>0</v>
      </c>
      <c r="AB80" s="180"/>
    </row>
    <row r="81" spans="1:33" s="73" customFormat="1" ht="15" x14ac:dyDescent="0.2">
      <c r="A81" s="88"/>
      <c r="B81" s="196" t="s">
        <v>53</v>
      </c>
      <c r="C81" s="178">
        <f>IF(C77&lt;0,C77,0)*1</f>
        <v>0</v>
      </c>
      <c r="D81" s="178"/>
      <c r="E81" s="178">
        <f>IF(E77&lt;0,E77,0)*1</f>
        <v>0</v>
      </c>
      <c r="F81" s="178"/>
      <c r="G81" s="178">
        <f t="shared" ref="G81:Y81" si="18">IF(G77&lt;0,G77,0)*1</f>
        <v>0</v>
      </c>
      <c r="H81" s="178"/>
      <c r="I81" s="178">
        <f t="shared" si="18"/>
        <v>0</v>
      </c>
      <c r="J81" s="178"/>
      <c r="K81" s="178">
        <f t="shared" si="18"/>
        <v>0</v>
      </c>
      <c r="L81" s="178"/>
      <c r="M81" s="178">
        <f t="shared" si="18"/>
        <v>0</v>
      </c>
      <c r="N81" s="178"/>
      <c r="O81" s="178">
        <f t="shared" si="18"/>
        <v>0</v>
      </c>
      <c r="P81" s="178"/>
      <c r="Q81" s="178">
        <f t="shared" si="18"/>
        <v>0</v>
      </c>
      <c r="R81" s="178"/>
      <c r="S81" s="178">
        <f t="shared" si="18"/>
        <v>0</v>
      </c>
      <c r="T81" s="178"/>
      <c r="U81" s="178">
        <f t="shared" si="18"/>
        <v>0</v>
      </c>
      <c r="V81" s="178"/>
      <c r="W81" s="178">
        <f t="shared" si="18"/>
        <v>0</v>
      </c>
      <c r="X81" s="178"/>
      <c r="Y81" s="178">
        <f t="shared" si="18"/>
        <v>0</v>
      </c>
      <c r="Z81" s="178"/>
      <c r="AA81" s="73">
        <f>Y81</f>
        <v>0</v>
      </c>
      <c r="AB81" s="180"/>
    </row>
    <row r="82" spans="1:33" s="73" customFormat="1" ht="15" x14ac:dyDescent="0.2">
      <c r="A82" s="88"/>
      <c r="B82" s="196" t="s">
        <v>28</v>
      </c>
      <c r="C82" s="71">
        <f>IF(C77&gt;0,IF(IF(C77&gt;0,C77*0.3,0)&lt;C80,IF(C77&gt;0,C77*0.3,0),C80),0)</f>
        <v>0</v>
      </c>
      <c r="D82" s="71"/>
      <c r="E82" s="71">
        <f t="shared" ref="E82:Y82" si="19">IFERROR(IF(E77&gt;0,IF(IF(E77&gt;0,E77*0.3,0)&lt;E80,IF(E77&gt;0,E77*0.3,0),E80),0),0)</f>
        <v>0</v>
      </c>
      <c r="F82" s="71"/>
      <c r="G82" s="71">
        <f t="shared" si="19"/>
        <v>0</v>
      </c>
      <c r="H82" s="71"/>
      <c r="I82" s="71">
        <f t="shared" si="19"/>
        <v>0</v>
      </c>
      <c r="J82" s="71"/>
      <c r="K82" s="71">
        <f t="shared" si="19"/>
        <v>0</v>
      </c>
      <c r="L82" s="71"/>
      <c r="M82" s="71">
        <f t="shared" si="19"/>
        <v>0</v>
      </c>
      <c r="N82" s="71"/>
      <c r="O82" s="71">
        <f t="shared" si="19"/>
        <v>0</v>
      </c>
      <c r="P82" s="71"/>
      <c r="Q82" s="71">
        <f t="shared" si="19"/>
        <v>0</v>
      </c>
      <c r="R82" s="71"/>
      <c r="S82" s="71">
        <f t="shared" si="19"/>
        <v>0</v>
      </c>
      <c r="T82" s="71"/>
      <c r="U82" s="71">
        <f t="shared" si="19"/>
        <v>0</v>
      </c>
      <c r="V82" s="71"/>
      <c r="W82" s="71">
        <f t="shared" si="19"/>
        <v>0</v>
      </c>
      <c r="X82" s="71"/>
      <c r="Y82" s="71">
        <f t="shared" si="19"/>
        <v>0</v>
      </c>
      <c r="Z82" s="71"/>
      <c r="AA82" s="73">
        <f>Y82</f>
        <v>0</v>
      </c>
      <c r="AB82" s="197"/>
      <c r="AD82" s="89"/>
      <c r="AE82" s="89"/>
      <c r="AF82" s="89"/>
      <c r="AG82" s="89"/>
    </row>
    <row r="83" spans="1:33" s="73" customFormat="1" ht="15" x14ac:dyDescent="0.2">
      <c r="A83" s="88"/>
      <c r="B83" s="196" t="s">
        <v>3</v>
      </c>
      <c r="C83" s="71">
        <f>C80+C81-C82</f>
        <v>0</v>
      </c>
      <c r="D83" s="71"/>
      <c r="E83" s="71">
        <f>E80+E81-E82</f>
        <v>0</v>
      </c>
      <c r="F83" s="71"/>
      <c r="G83" s="71">
        <f t="shared" ref="G83:Y83" si="20">G80+G81-G82</f>
        <v>0</v>
      </c>
      <c r="H83" s="71"/>
      <c r="I83" s="71">
        <f t="shared" si="20"/>
        <v>0</v>
      </c>
      <c r="J83" s="71"/>
      <c r="K83" s="71">
        <f t="shared" si="20"/>
        <v>0</v>
      </c>
      <c r="L83" s="71"/>
      <c r="M83" s="71">
        <f t="shared" si="20"/>
        <v>0</v>
      </c>
      <c r="N83" s="71"/>
      <c r="O83" s="71">
        <f t="shared" si="20"/>
        <v>0</v>
      </c>
      <c r="P83" s="71"/>
      <c r="Q83" s="71">
        <f t="shared" si="20"/>
        <v>0</v>
      </c>
      <c r="R83" s="71"/>
      <c r="S83" s="71">
        <f t="shared" si="20"/>
        <v>0</v>
      </c>
      <c r="T83" s="71"/>
      <c r="U83" s="71">
        <f t="shared" si="20"/>
        <v>0</v>
      </c>
      <c r="V83" s="71"/>
      <c r="W83" s="71">
        <f t="shared" si="20"/>
        <v>0</v>
      </c>
      <c r="X83" s="71"/>
      <c r="Y83" s="71">
        <f t="shared" si="20"/>
        <v>0</v>
      </c>
      <c r="Z83" s="71"/>
      <c r="AA83" s="71">
        <f>Y83</f>
        <v>0</v>
      </c>
      <c r="AB83" s="197"/>
    </row>
    <row r="84" spans="1:33" customFormat="1" ht="15" x14ac:dyDescent="0.2">
      <c r="A84" s="75"/>
      <c r="B84" s="174"/>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c r="AA84" s="194"/>
      <c r="AB84" s="195"/>
      <c r="AE84" s="8"/>
    </row>
    <row r="85" spans="1:33" s="76" customFormat="1" ht="15" x14ac:dyDescent="0.2">
      <c r="A85" s="87"/>
      <c r="B85" s="150" t="s">
        <v>29</v>
      </c>
      <c r="C85" s="69">
        <f>IFERROR(C77-C82,0)</f>
        <v>0</v>
      </c>
      <c r="D85" s="69"/>
      <c r="E85" s="69">
        <f t="shared" ref="E85:Y85" si="21">IFERROR(E77-E82,0)</f>
        <v>0</v>
      </c>
      <c r="F85" s="69"/>
      <c r="G85" s="69">
        <f t="shared" si="21"/>
        <v>0</v>
      </c>
      <c r="H85" s="69"/>
      <c r="I85" s="69">
        <f t="shared" si="21"/>
        <v>0</v>
      </c>
      <c r="J85" s="69"/>
      <c r="K85" s="69">
        <f t="shared" si="21"/>
        <v>0</v>
      </c>
      <c r="L85" s="69"/>
      <c r="M85" s="69">
        <f t="shared" si="21"/>
        <v>0</v>
      </c>
      <c r="N85" s="69"/>
      <c r="O85" s="69">
        <f t="shared" si="21"/>
        <v>0</v>
      </c>
      <c r="P85" s="69"/>
      <c r="Q85" s="69">
        <f t="shared" si="21"/>
        <v>0</v>
      </c>
      <c r="R85" s="69"/>
      <c r="S85" s="69">
        <f t="shared" si="21"/>
        <v>0</v>
      </c>
      <c r="T85" s="69"/>
      <c r="U85" s="69">
        <f t="shared" si="21"/>
        <v>0</v>
      </c>
      <c r="V85" s="69"/>
      <c r="W85" s="69">
        <f t="shared" si="21"/>
        <v>0</v>
      </c>
      <c r="X85" s="69"/>
      <c r="Y85" s="69">
        <f t="shared" si="21"/>
        <v>0</v>
      </c>
      <c r="Z85" s="69"/>
      <c r="AA85" s="69">
        <f t="shared" ref="AA85" si="22">AA77-AA82</f>
        <v>0</v>
      </c>
      <c r="AB85" s="139"/>
    </row>
    <row r="86" spans="1:33" ht="12.75" customHeight="1" x14ac:dyDescent="0.2">
      <c r="B86" s="198"/>
      <c r="C86" s="199"/>
      <c r="D86" s="199"/>
      <c r="E86" s="190"/>
      <c r="F86" s="199"/>
      <c r="G86" s="190"/>
      <c r="H86" s="199"/>
      <c r="I86" s="190"/>
      <c r="J86" s="199"/>
      <c r="K86" s="190"/>
      <c r="L86" s="199"/>
      <c r="M86" s="190"/>
      <c r="N86" s="199"/>
      <c r="O86" s="190"/>
      <c r="P86" s="199"/>
      <c r="Q86" s="190"/>
      <c r="R86" s="199"/>
      <c r="S86" s="190"/>
      <c r="T86" s="199"/>
      <c r="U86" s="190"/>
      <c r="V86" s="199"/>
      <c r="W86" s="190"/>
      <c r="X86" s="199"/>
      <c r="Y86" s="190"/>
      <c r="Z86" s="199"/>
      <c r="AA86" s="191"/>
      <c r="AB86" s="200"/>
      <c r="AD86" s="17"/>
    </row>
    <row r="87" spans="1:33" ht="12.75" customHeight="1" x14ac:dyDescent="0.2">
      <c r="B87" s="198"/>
      <c r="C87" s="199"/>
      <c r="D87" s="199"/>
      <c r="E87" s="190"/>
      <c r="F87" s="199"/>
      <c r="G87" s="190"/>
      <c r="H87" s="199"/>
      <c r="I87" s="190"/>
      <c r="J87" s="199"/>
      <c r="K87" s="190"/>
      <c r="L87" s="199"/>
      <c r="M87" s="190"/>
      <c r="N87" s="199"/>
      <c r="O87" s="190"/>
      <c r="P87" s="199"/>
      <c r="Q87" s="190"/>
      <c r="R87" s="199"/>
      <c r="S87" s="190"/>
      <c r="T87" s="199"/>
      <c r="U87" s="190"/>
      <c r="V87" s="199"/>
      <c r="W87" s="190"/>
      <c r="X87" s="199"/>
      <c r="Y87" s="190"/>
      <c r="Z87" s="199"/>
      <c r="AA87" s="191"/>
      <c r="AB87" s="200"/>
      <c r="AD87" s="17"/>
    </row>
    <row r="88" spans="1:33" customFormat="1" ht="15" x14ac:dyDescent="0.2">
      <c r="A88" s="75"/>
      <c r="B88" s="174" t="s">
        <v>31</v>
      </c>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c r="AA88" s="194"/>
      <c r="AB88" s="195"/>
    </row>
    <row r="89" spans="1:33" customFormat="1" ht="15" x14ac:dyDescent="0.2">
      <c r="A89" s="75"/>
      <c r="B89" s="201" t="s">
        <v>19</v>
      </c>
      <c r="C89" s="78">
        <f>IFERROR(IF(C85&gt;0,C85*15%,0),0)</f>
        <v>0</v>
      </c>
      <c r="D89" s="78"/>
      <c r="E89" s="78">
        <f t="shared" ref="E89:Y89" si="23">IFERROR(IF(E85&gt;0,E85*15%,0),0)</f>
        <v>0</v>
      </c>
      <c r="F89" s="78"/>
      <c r="G89" s="78">
        <f t="shared" si="23"/>
        <v>0</v>
      </c>
      <c r="H89" s="78"/>
      <c r="I89" s="78">
        <f t="shared" si="23"/>
        <v>0</v>
      </c>
      <c r="J89" s="78"/>
      <c r="K89" s="78">
        <f t="shared" si="23"/>
        <v>0</v>
      </c>
      <c r="L89" s="78"/>
      <c r="M89" s="78">
        <f t="shared" si="23"/>
        <v>0</v>
      </c>
      <c r="N89" s="78"/>
      <c r="O89" s="78">
        <f t="shared" si="23"/>
        <v>0</v>
      </c>
      <c r="P89" s="78"/>
      <c r="Q89" s="78">
        <f t="shared" si="23"/>
        <v>0</v>
      </c>
      <c r="R89" s="78"/>
      <c r="S89" s="78">
        <f t="shared" si="23"/>
        <v>0</v>
      </c>
      <c r="T89" s="78"/>
      <c r="U89" s="78">
        <f t="shared" si="23"/>
        <v>0</v>
      </c>
      <c r="V89" s="78"/>
      <c r="W89" s="78">
        <f t="shared" si="23"/>
        <v>0</v>
      </c>
      <c r="X89" s="78"/>
      <c r="Y89" s="78">
        <f t="shared" si="23"/>
        <v>0</v>
      </c>
      <c r="Z89" s="78"/>
      <c r="AA89" s="73">
        <f>Y89</f>
        <v>0</v>
      </c>
      <c r="AB89" s="202"/>
      <c r="AC89" s="5"/>
    </row>
    <row r="90" spans="1:33" customFormat="1" ht="15" x14ac:dyDescent="0.2">
      <c r="A90" s="75"/>
      <c r="B90" s="201" t="s">
        <v>20</v>
      </c>
      <c r="C90" s="78">
        <f>IFERROR(IF((C85-20000)*10%&gt;0,(C85-20000)*10%,0),0)</f>
        <v>0</v>
      </c>
      <c r="D90" s="78"/>
      <c r="E90" s="78">
        <f>IFERROR(IF((E85-40000)*10%&gt;0,(E85-40000)*10%,0),0)</f>
        <v>0</v>
      </c>
      <c r="F90" s="78"/>
      <c r="G90" s="78">
        <f>IFERROR(IF((G85-60000)*10%&gt;0,(G85-26000)*10%,0),0)</f>
        <v>0</v>
      </c>
      <c r="H90" s="78"/>
      <c r="I90" s="78">
        <f>IFERROR(IF((I85-80000)*10%&gt;0,(I85-80000)*10%,0),0)</f>
        <v>0</v>
      </c>
      <c r="J90" s="78"/>
      <c r="K90" s="78">
        <f>IFERROR(IF((K85-100000)*10%&gt;0,(K85-100000)*10%,0),0)</f>
        <v>0</v>
      </c>
      <c r="L90" s="78"/>
      <c r="M90" s="78">
        <f>IFERROR(IF((M85-120000)*10%&gt;0,(M85-120000)*10%,0),0)</f>
        <v>0</v>
      </c>
      <c r="N90" s="78"/>
      <c r="O90" s="78">
        <f>IFERROR(IF((O85-140000)*10%&gt;0,(I65140000)*10%,0),0)</f>
        <v>0</v>
      </c>
      <c r="P90" s="78"/>
      <c r="Q90" s="78">
        <f>IFERROR(IF((Q85-160000)*10%&gt;0,(Q85-160000)*10%,0),0)</f>
        <v>0</v>
      </c>
      <c r="R90" s="78"/>
      <c r="S90" s="78">
        <f>IFERROR(IF((S85-180000)*10%&gt;0,(S85-180000)*10%,0),0)</f>
        <v>0</v>
      </c>
      <c r="T90" s="78"/>
      <c r="U90" s="78">
        <f t="shared" ref="U90:W90" si="24">IFERROR(IF((U85-20000)*10%&gt;0,(U85-20000)*10%,0),0)</f>
        <v>0</v>
      </c>
      <c r="V90" s="78"/>
      <c r="W90" s="78">
        <f t="shared" si="24"/>
        <v>0</v>
      </c>
      <c r="X90" s="78"/>
      <c r="Y90" s="78">
        <f>IFERROR(IF((Y85-120000)*10%&gt;0,(Y85-120000)*10%,0),0)</f>
        <v>0</v>
      </c>
      <c r="Z90" s="78"/>
      <c r="AA90" s="73">
        <f>Y90</f>
        <v>0</v>
      </c>
      <c r="AB90" s="202"/>
      <c r="AC90" s="76"/>
    </row>
    <row r="91" spans="1:33" customFormat="1" ht="15" x14ac:dyDescent="0.2">
      <c r="A91" s="75"/>
      <c r="B91" s="188"/>
      <c r="C91" s="77"/>
      <c r="D91" s="77"/>
      <c r="E91" s="77"/>
      <c r="F91" s="77"/>
      <c r="G91" s="77"/>
      <c r="H91" s="77"/>
      <c r="I91" s="77"/>
      <c r="J91" s="77"/>
      <c r="K91" s="77"/>
      <c r="L91" s="77"/>
      <c r="M91" s="77"/>
      <c r="N91" s="77"/>
      <c r="O91" s="77"/>
      <c r="P91" s="77"/>
      <c r="Q91" s="77"/>
      <c r="R91" s="77"/>
      <c r="S91" s="77"/>
      <c r="T91" s="77"/>
      <c r="U91" s="77"/>
      <c r="V91" s="77"/>
      <c r="W91" s="77"/>
      <c r="X91" s="77"/>
      <c r="Y91" s="77"/>
      <c r="Z91" s="77"/>
      <c r="AA91" s="194"/>
      <c r="AB91" s="203"/>
      <c r="AC91" s="5"/>
      <c r="AE91" s="5"/>
    </row>
    <row r="92" spans="1:33" customFormat="1" ht="15" x14ac:dyDescent="0.2">
      <c r="A92" s="75"/>
      <c r="B92" s="134" t="s">
        <v>34</v>
      </c>
      <c r="C92" s="78">
        <f t="shared" ref="C92:Y92" si="25">C89+C90</f>
        <v>0</v>
      </c>
      <c r="D92" s="78"/>
      <c r="E92" s="78">
        <f t="shared" si="25"/>
        <v>0</v>
      </c>
      <c r="F92" s="78"/>
      <c r="G92" s="78">
        <f t="shared" si="25"/>
        <v>0</v>
      </c>
      <c r="H92" s="78"/>
      <c r="I92" s="78">
        <f t="shared" si="25"/>
        <v>0</v>
      </c>
      <c r="J92" s="78"/>
      <c r="K92" s="78">
        <f t="shared" si="25"/>
        <v>0</v>
      </c>
      <c r="L92" s="78"/>
      <c r="M92" s="78">
        <f t="shared" si="25"/>
        <v>0</v>
      </c>
      <c r="N92" s="78"/>
      <c r="O92" s="78">
        <f t="shared" si="25"/>
        <v>0</v>
      </c>
      <c r="P92" s="78"/>
      <c r="Q92" s="78">
        <f t="shared" si="25"/>
        <v>0</v>
      </c>
      <c r="R92" s="78"/>
      <c r="S92" s="78">
        <f t="shared" si="25"/>
        <v>0</v>
      </c>
      <c r="T92" s="78"/>
      <c r="U92" s="78">
        <f t="shared" si="25"/>
        <v>0</v>
      </c>
      <c r="V92" s="78"/>
      <c r="W92" s="78">
        <f t="shared" si="25"/>
        <v>0</v>
      </c>
      <c r="X92" s="78"/>
      <c r="Y92" s="78">
        <f t="shared" si="25"/>
        <v>0</v>
      </c>
      <c r="Z92" s="78"/>
      <c r="AA92" s="73">
        <f>Y92</f>
        <v>0</v>
      </c>
      <c r="AB92" s="202"/>
      <c r="AE92" s="79"/>
    </row>
    <row r="93" spans="1:33" s="48" customFormat="1" ht="15" x14ac:dyDescent="0.2">
      <c r="B93" s="146" t="s">
        <v>4</v>
      </c>
      <c r="C93" s="74">
        <v>0</v>
      </c>
      <c r="D93" s="74"/>
      <c r="E93" s="74">
        <f>C93</f>
        <v>0</v>
      </c>
      <c r="F93" s="74"/>
      <c r="G93" s="74">
        <f>E93</f>
        <v>0</v>
      </c>
      <c r="H93" s="74"/>
      <c r="I93" s="74">
        <f>G93</f>
        <v>0</v>
      </c>
      <c r="J93" s="74"/>
      <c r="K93" s="74">
        <f>I93</f>
        <v>0</v>
      </c>
      <c r="L93" s="74"/>
      <c r="M93" s="74">
        <f>K93</f>
        <v>0</v>
      </c>
      <c r="N93" s="74"/>
      <c r="O93" s="74">
        <f>M93</f>
        <v>0</v>
      </c>
      <c r="P93" s="74"/>
      <c r="Q93" s="74">
        <f>O93</f>
        <v>0</v>
      </c>
      <c r="R93" s="74"/>
      <c r="S93" s="74">
        <f>Q93</f>
        <v>0</v>
      </c>
      <c r="T93" s="74"/>
      <c r="U93" s="74">
        <f>S93</f>
        <v>0</v>
      </c>
      <c r="V93" s="74"/>
      <c r="W93" s="74">
        <f>U93</f>
        <v>0</v>
      </c>
      <c r="X93" s="74"/>
      <c r="Y93" s="74">
        <f t="shared" ref="Y93" si="26">W93</f>
        <v>0</v>
      </c>
      <c r="Z93" s="74"/>
      <c r="AA93" s="204">
        <f>Y93</f>
        <v>0</v>
      </c>
      <c r="AB93" s="205"/>
    </row>
    <row r="94" spans="1:33" customFormat="1" ht="15" x14ac:dyDescent="0.2">
      <c r="A94" s="75"/>
      <c r="B94" s="206" t="s">
        <v>99</v>
      </c>
      <c r="C94" s="72">
        <v>0</v>
      </c>
      <c r="D94" s="72"/>
      <c r="E94" s="72">
        <f>C95</f>
        <v>0</v>
      </c>
      <c r="F94" s="72"/>
      <c r="G94" s="72">
        <f>C95+E95</f>
        <v>0</v>
      </c>
      <c r="H94" s="72"/>
      <c r="I94" s="72">
        <f>C95+E95+G95</f>
        <v>0</v>
      </c>
      <c r="J94" s="72"/>
      <c r="K94" s="72">
        <f>SUM(C95:I95)</f>
        <v>0</v>
      </c>
      <c r="L94" s="72"/>
      <c r="M94" s="72">
        <f>SUM(C95:I95)</f>
        <v>0</v>
      </c>
      <c r="N94" s="72"/>
      <c r="O94" s="71">
        <f>SUM(C95:I95)</f>
        <v>0</v>
      </c>
      <c r="P94" s="72"/>
      <c r="Q94" s="71">
        <f>SUM(C95:I95)</f>
        <v>0</v>
      </c>
      <c r="R94" s="72"/>
      <c r="S94" s="71">
        <f>SUM(C95:I95)</f>
        <v>0</v>
      </c>
      <c r="T94" s="72"/>
      <c r="U94" s="71">
        <f>SUM(C95:I95)</f>
        <v>0</v>
      </c>
      <c r="V94" s="72"/>
      <c r="W94" s="71">
        <f>SUM(C95:I95)</f>
        <v>0</v>
      </c>
      <c r="X94" s="72"/>
      <c r="Y94" s="71">
        <f>SUM(C95:I95)</f>
        <v>0</v>
      </c>
      <c r="Z94" s="72"/>
      <c r="AA94" s="71">
        <v>0</v>
      </c>
      <c r="AB94" s="147"/>
    </row>
    <row r="95" spans="1:33" customFormat="1" thickBot="1" x14ac:dyDescent="0.25">
      <c r="A95" s="75"/>
      <c r="B95" s="207" t="s">
        <v>30</v>
      </c>
      <c r="C95" s="86">
        <f>IF(C92-C93-C94&lt;0,0,C92-C93-C94)</f>
        <v>0</v>
      </c>
      <c r="D95" s="86"/>
      <c r="E95" s="86">
        <f t="shared" ref="E95:Y95" si="27">IF(E92-E93-E94&lt;0,0,E92-E93-E94)</f>
        <v>0</v>
      </c>
      <c r="F95" s="86"/>
      <c r="G95" s="86">
        <f t="shared" si="27"/>
        <v>0</v>
      </c>
      <c r="H95" s="86"/>
      <c r="I95" s="86">
        <f t="shared" si="27"/>
        <v>0</v>
      </c>
      <c r="J95" s="86"/>
      <c r="K95" s="86">
        <f t="shared" si="27"/>
        <v>0</v>
      </c>
      <c r="L95" s="86"/>
      <c r="M95" s="86">
        <f t="shared" si="27"/>
        <v>0</v>
      </c>
      <c r="N95" s="86"/>
      <c r="O95" s="86">
        <f t="shared" si="27"/>
        <v>0</v>
      </c>
      <c r="P95" s="86"/>
      <c r="Q95" s="86">
        <f t="shared" si="27"/>
        <v>0</v>
      </c>
      <c r="R95" s="86"/>
      <c r="S95" s="86">
        <f t="shared" si="27"/>
        <v>0</v>
      </c>
      <c r="T95" s="86"/>
      <c r="U95" s="86">
        <f t="shared" si="27"/>
        <v>0</v>
      </c>
      <c r="V95" s="86"/>
      <c r="W95" s="86">
        <f t="shared" si="27"/>
        <v>0</v>
      </c>
      <c r="X95" s="86"/>
      <c r="Y95" s="86">
        <f t="shared" si="27"/>
        <v>0</v>
      </c>
      <c r="Z95" s="86"/>
      <c r="AA95" s="86">
        <f>Y95</f>
        <v>0</v>
      </c>
      <c r="AB95" s="208"/>
      <c r="AC95" s="4"/>
    </row>
    <row r="96" spans="1:33" ht="17" thickTop="1" x14ac:dyDescent="0.2">
      <c r="B96" s="209"/>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210"/>
    </row>
    <row r="97" spans="1:29" customFormat="1" ht="15" x14ac:dyDescent="0.2">
      <c r="A97" s="75"/>
      <c r="B97" s="174" t="s">
        <v>32</v>
      </c>
      <c r="C97" s="80"/>
      <c r="D97" s="80"/>
      <c r="E97" s="80"/>
      <c r="F97" s="80"/>
      <c r="G97" s="80"/>
      <c r="H97" s="80"/>
      <c r="I97" s="80"/>
      <c r="J97" s="80"/>
      <c r="K97" s="80"/>
      <c r="L97" s="80"/>
      <c r="M97" s="80"/>
      <c r="N97" s="80"/>
      <c r="O97" s="80"/>
      <c r="P97" s="80"/>
      <c r="Q97" s="80"/>
      <c r="R97" s="80"/>
      <c r="S97" s="80"/>
      <c r="T97" s="80"/>
      <c r="U97" s="80"/>
      <c r="V97" s="80"/>
      <c r="W97" s="80"/>
      <c r="X97" s="80"/>
      <c r="Y97" s="80"/>
      <c r="Z97" s="80"/>
      <c r="AA97" s="80"/>
      <c r="AB97" s="211"/>
    </row>
    <row r="98" spans="1:29" customFormat="1" ht="15" x14ac:dyDescent="0.2">
      <c r="A98" s="75"/>
      <c r="B98" s="201" t="s">
        <v>35</v>
      </c>
      <c r="C98" s="78">
        <f>IFERROR(IF(C85&gt;0,C85*9%,0),0)</f>
        <v>0</v>
      </c>
      <c r="D98" s="78"/>
      <c r="E98" s="78">
        <f t="shared" ref="E98:Y98" si="28">IFERROR(IF(E85&gt;0,E85*9%,0),0)</f>
        <v>0</v>
      </c>
      <c r="F98" s="78"/>
      <c r="G98" s="78">
        <f t="shared" si="28"/>
        <v>0</v>
      </c>
      <c r="H98" s="78"/>
      <c r="I98" s="78">
        <f t="shared" si="28"/>
        <v>0</v>
      </c>
      <c r="J98" s="78"/>
      <c r="K98" s="78">
        <f t="shared" si="28"/>
        <v>0</v>
      </c>
      <c r="L98" s="78"/>
      <c r="M98" s="78">
        <f t="shared" si="28"/>
        <v>0</v>
      </c>
      <c r="N98" s="78"/>
      <c r="O98" s="78">
        <f t="shared" si="28"/>
        <v>0</v>
      </c>
      <c r="P98" s="78"/>
      <c r="Q98" s="78">
        <f t="shared" si="28"/>
        <v>0</v>
      </c>
      <c r="R98" s="78"/>
      <c r="S98" s="78">
        <f t="shared" si="28"/>
        <v>0</v>
      </c>
      <c r="T98" s="78"/>
      <c r="U98" s="78">
        <f t="shared" si="28"/>
        <v>0</v>
      </c>
      <c r="V98" s="78"/>
      <c r="W98" s="78">
        <f t="shared" si="28"/>
        <v>0</v>
      </c>
      <c r="X98" s="78"/>
      <c r="Y98" s="78">
        <f t="shared" si="28"/>
        <v>0</v>
      </c>
      <c r="Z98" s="78"/>
      <c r="AA98" s="78">
        <f>Y98</f>
        <v>0</v>
      </c>
      <c r="AB98" s="202"/>
    </row>
    <row r="99" spans="1:29" customFormat="1" ht="15" x14ac:dyDescent="0.2">
      <c r="A99" s="75"/>
      <c r="B99" s="134" t="s">
        <v>36</v>
      </c>
      <c r="C99" s="78"/>
      <c r="D99" s="78"/>
      <c r="E99" s="78"/>
      <c r="F99" s="78"/>
      <c r="G99" s="78"/>
      <c r="H99" s="78"/>
      <c r="I99" s="78"/>
      <c r="J99" s="78"/>
      <c r="K99" s="78"/>
      <c r="L99" s="78"/>
      <c r="M99" s="78"/>
      <c r="N99" s="78"/>
      <c r="O99" s="78"/>
      <c r="P99" s="78"/>
      <c r="Q99" s="78"/>
      <c r="R99" s="78"/>
      <c r="S99" s="78"/>
      <c r="T99" s="78"/>
      <c r="U99" s="78"/>
      <c r="V99" s="78"/>
      <c r="W99" s="78"/>
      <c r="X99" s="78"/>
      <c r="Y99" s="78"/>
      <c r="Z99" s="78"/>
      <c r="AA99" s="73"/>
      <c r="AB99" s="202"/>
    </row>
    <row r="100" spans="1:29" customFormat="1" ht="15" x14ac:dyDescent="0.2">
      <c r="A100" s="75"/>
      <c r="B100" s="206" t="s">
        <v>98</v>
      </c>
      <c r="C100" s="71">
        <v>0</v>
      </c>
      <c r="D100" s="71"/>
      <c r="E100" s="71">
        <f>C101</f>
        <v>0</v>
      </c>
      <c r="F100" s="71"/>
      <c r="G100" s="71">
        <f>C101+E101</f>
        <v>0</v>
      </c>
      <c r="H100" s="71"/>
      <c r="I100" s="71">
        <f>C101+E101+G101</f>
        <v>0</v>
      </c>
      <c r="J100" s="71"/>
      <c r="K100" s="71">
        <f>SUM(C101:I101)</f>
        <v>0</v>
      </c>
      <c r="L100" s="71"/>
      <c r="M100" s="71">
        <f>SUM(C101:I101)</f>
        <v>0</v>
      </c>
      <c r="N100" s="71"/>
      <c r="O100" s="71">
        <f>SUM(C101:I101)</f>
        <v>0</v>
      </c>
      <c r="P100" s="71"/>
      <c r="Q100" s="71">
        <f>SUM(C101:I101)</f>
        <v>0</v>
      </c>
      <c r="R100" s="71"/>
      <c r="S100" s="71">
        <f>SUM(C101:I101)</f>
        <v>0</v>
      </c>
      <c r="T100" s="71"/>
      <c r="U100" s="71">
        <f>SUM(C101:I101)</f>
        <v>0</v>
      </c>
      <c r="V100" s="71"/>
      <c r="W100" s="71">
        <f>SUM(C101:I101)</f>
        <v>0</v>
      </c>
      <c r="X100" s="71"/>
      <c r="Y100" s="71">
        <f>SUM(C101:I101)</f>
        <v>0</v>
      </c>
      <c r="Z100" s="71"/>
      <c r="AA100" s="71">
        <v>0</v>
      </c>
      <c r="AB100" s="197"/>
    </row>
    <row r="101" spans="1:29" customFormat="1" thickBot="1" x14ac:dyDescent="0.25">
      <c r="A101" s="75"/>
      <c r="B101" s="207" t="s">
        <v>33</v>
      </c>
      <c r="C101" s="86">
        <f>C98-C99</f>
        <v>0</v>
      </c>
      <c r="D101" s="86"/>
      <c r="E101" s="86">
        <f>E98-E99-E100</f>
        <v>0</v>
      </c>
      <c r="F101" s="86"/>
      <c r="G101" s="86">
        <f t="shared" ref="G101:Y101" si="29">G98-G99-G100</f>
        <v>0</v>
      </c>
      <c r="H101" s="86"/>
      <c r="I101" s="86">
        <f t="shared" si="29"/>
        <v>0</v>
      </c>
      <c r="J101" s="86"/>
      <c r="K101" s="86">
        <f t="shared" si="29"/>
        <v>0</v>
      </c>
      <c r="L101" s="86"/>
      <c r="M101" s="86">
        <f t="shared" si="29"/>
        <v>0</v>
      </c>
      <c r="N101" s="86"/>
      <c r="O101" s="86">
        <f t="shared" si="29"/>
        <v>0</v>
      </c>
      <c r="P101" s="86"/>
      <c r="Q101" s="86">
        <f t="shared" si="29"/>
        <v>0</v>
      </c>
      <c r="R101" s="86"/>
      <c r="S101" s="86">
        <f t="shared" si="29"/>
        <v>0</v>
      </c>
      <c r="T101" s="86"/>
      <c r="U101" s="86">
        <f t="shared" si="29"/>
        <v>0</v>
      </c>
      <c r="V101" s="86"/>
      <c r="W101" s="86">
        <f t="shared" si="29"/>
        <v>0</v>
      </c>
      <c r="X101" s="86"/>
      <c r="Y101" s="86">
        <f t="shared" si="29"/>
        <v>0</v>
      </c>
      <c r="Z101" s="86"/>
      <c r="AA101" s="86">
        <f>AA100</f>
        <v>0</v>
      </c>
      <c r="AB101" s="208"/>
      <c r="AC101" s="4"/>
    </row>
    <row r="102" spans="1:29" ht="17" thickTop="1" x14ac:dyDescent="0.2">
      <c r="B102" s="212"/>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c r="AA102" s="214"/>
      <c r="AB102" s="215"/>
    </row>
    <row r="103" spans="1:29" x14ac:dyDescent="0.2">
      <c r="B103" s="16"/>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B103" s="12"/>
    </row>
    <row r="104" spans="1:29" x14ac:dyDescent="0.2">
      <c r="E104" s="13"/>
    </row>
    <row r="106" spans="1:29" x14ac:dyDescent="0.2">
      <c r="I106" s="19"/>
      <c r="O106" s="15"/>
    </row>
  </sheetData>
  <mergeCells count="7">
    <mergeCell ref="B55:AA55"/>
    <mergeCell ref="B47:AA47"/>
    <mergeCell ref="B8:AA8"/>
    <mergeCell ref="B2:AA2"/>
    <mergeCell ref="B3:AA4"/>
    <mergeCell ref="B5:AA5"/>
    <mergeCell ref="B6:AA6"/>
  </mergeCells>
  <pageMargins left="0.25" right="0.25" top="0.75" bottom="0.75" header="0.3" footer="0.3"/>
  <pageSetup paperSize="9" scale="49" fitToHeight="0" orientation="portrait" r:id="rId1"/>
  <ignoredErrors>
    <ignoredError sqref="E38 AA38 AA25:AA29 AA39 C28 E28 E44 D29 G38 G28 G44 F29 I38 I28 I44 H29 K38 K28 K44 J29 M38 M28 L29 O38 O28 N29 Q38 Q28 P29 S38 S28 R29 U38 U28 T29 W38 W28 V29 Y38 Y28 X29 AA44 Z29 D39:D44 F39:F44 H39:H44 J39:J44 N45 Z45 Y44 W44 U44 S44 Q44 O44 L44:M44 N44 P44 R44 T44 V44 X44 Z44 Z39:Z43 X39:X43 V39:V43 T39:T43 R39:R43 P39:P43 N39:N43 L39:L43 D31:D37 F31:F37 H31:H37 J31:J37 L31:L37 N31:N37 P31:P37 R31:R37 T31:T37 V31:V37 X31:X37 Z31:Z37 AA31:AA32"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1:AA39"/>
  <sheetViews>
    <sheetView showGridLines="0" topLeftCell="A7" zoomScaleNormal="100" workbookViewId="0">
      <selection activeCell="B33" sqref="B33"/>
    </sheetView>
  </sheetViews>
  <sheetFormatPr baseColWidth="10" defaultColWidth="8.83203125" defaultRowHeight="15" x14ac:dyDescent="0.2"/>
  <cols>
    <col min="1" max="1" width="1.33203125" customWidth="1"/>
    <col min="2" max="2" width="45" customWidth="1"/>
    <col min="3" max="3" width="14.83203125" bestFit="1" customWidth="1"/>
    <col min="4" max="4" width="6.5" customWidth="1"/>
    <col min="5" max="5" width="16.83203125" customWidth="1"/>
    <col min="6" max="6" width="6.83203125" customWidth="1"/>
    <col min="7" max="7" width="14.5" customWidth="1"/>
    <col min="8" max="8" width="7.6640625" customWidth="1"/>
    <col min="9" max="9" width="14.83203125" customWidth="1"/>
    <col min="10" max="10" width="6.6640625" customWidth="1"/>
    <col min="11" max="11" width="14.83203125" bestFit="1" customWidth="1"/>
    <col min="12" max="12" width="8" customWidth="1"/>
    <col min="13" max="13" width="14.83203125" bestFit="1" customWidth="1"/>
    <col min="14" max="14" width="7.6640625" customWidth="1"/>
    <col min="15" max="15" width="14.5" bestFit="1" customWidth="1"/>
    <col min="16" max="16" width="7" customWidth="1"/>
    <col min="17" max="17" width="14.33203125" customWidth="1"/>
    <col min="18" max="18" width="7" customWidth="1"/>
    <col min="19" max="19" width="16.6640625" bestFit="1" customWidth="1"/>
    <col min="20" max="20" width="6.5" customWidth="1"/>
    <col min="21" max="21" width="15.83203125" customWidth="1"/>
    <col min="22" max="22" width="7" customWidth="1"/>
    <col min="23" max="23" width="14.33203125" customWidth="1"/>
    <col min="24" max="24" width="7.5" customWidth="1"/>
    <col min="25" max="25" width="17.1640625" customWidth="1"/>
    <col min="26" max="26" width="7.33203125" customWidth="1"/>
    <col min="27" max="27" width="16.5" bestFit="1" customWidth="1"/>
    <col min="257" max="257" width="3" customWidth="1"/>
    <col min="258" max="258" width="46.6640625" customWidth="1"/>
    <col min="259" max="259" width="14.83203125" bestFit="1" customWidth="1"/>
    <col min="260" max="260" width="6.5" customWidth="1"/>
    <col min="261" max="261" width="16.83203125" customWidth="1"/>
    <col min="262" max="262" width="6.83203125" customWidth="1"/>
    <col min="263" max="263" width="14.5" customWidth="1"/>
    <col min="264" max="264" width="7.6640625" customWidth="1"/>
    <col min="265" max="265" width="14.83203125" customWidth="1"/>
    <col min="266" max="266" width="6.6640625" customWidth="1"/>
    <col min="267" max="267" width="14.83203125" bestFit="1" customWidth="1"/>
    <col min="268" max="268" width="8" customWidth="1"/>
    <col min="269" max="269" width="14.83203125" bestFit="1" customWidth="1"/>
    <col min="270" max="270" width="7.6640625" customWidth="1"/>
    <col min="271" max="271" width="14.5" bestFit="1" customWidth="1"/>
    <col min="272" max="272" width="7" customWidth="1"/>
    <col min="273" max="273" width="14.33203125" customWidth="1"/>
    <col min="274" max="274" width="7" customWidth="1"/>
    <col min="275" max="275" width="16.6640625" bestFit="1" customWidth="1"/>
    <col min="276" max="276" width="6.5" customWidth="1"/>
    <col min="277" max="277" width="15.83203125" customWidth="1"/>
    <col min="278" max="278" width="7" customWidth="1"/>
    <col min="279" max="279" width="14.33203125" customWidth="1"/>
    <col min="280" max="280" width="7.5" customWidth="1"/>
    <col min="281" max="281" width="17.1640625" customWidth="1"/>
    <col min="282" max="282" width="7.33203125" customWidth="1"/>
    <col min="283" max="283" width="16.5" bestFit="1" customWidth="1"/>
    <col min="513" max="513" width="3" customWidth="1"/>
    <col min="514" max="514" width="46.6640625" customWidth="1"/>
    <col min="515" max="515" width="14.83203125" bestFit="1" customWidth="1"/>
    <col min="516" max="516" width="6.5" customWidth="1"/>
    <col min="517" max="517" width="16.83203125" customWidth="1"/>
    <col min="518" max="518" width="6.83203125" customWidth="1"/>
    <col min="519" max="519" width="14.5" customWidth="1"/>
    <col min="520" max="520" width="7.6640625" customWidth="1"/>
    <col min="521" max="521" width="14.83203125" customWidth="1"/>
    <col min="522" max="522" width="6.6640625" customWidth="1"/>
    <col min="523" max="523" width="14.83203125" bestFit="1" customWidth="1"/>
    <col min="524" max="524" width="8" customWidth="1"/>
    <col min="525" max="525" width="14.83203125" bestFit="1" customWidth="1"/>
    <col min="526" max="526" width="7.6640625" customWidth="1"/>
    <col min="527" max="527" width="14.5" bestFit="1" customWidth="1"/>
    <col min="528" max="528" width="7" customWidth="1"/>
    <col min="529" max="529" width="14.33203125" customWidth="1"/>
    <col min="530" max="530" width="7" customWidth="1"/>
    <col min="531" max="531" width="16.6640625" bestFit="1" customWidth="1"/>
    <col min="532" max="532" width="6.5" customWidth="1"/>
    <col min="533" max="533" width="15.83203125" customWidth="1"/>
    <col min="534" max="534" width="7" customWidth="1"/>
    <col min="535" max="535" width="14.33203125" customWidth="1"/>
    <col min="536" max="536" width="7.5" customWidth="1"/>
    <col min="537" max="537" width="17.1640625" customWidth="1"/>
    <col min="538" max="538" width="7.33203125" customWidth="1"/>
    <col min="539" max="539" width="16.5" bestFit="1" customWidth="1"/>
    <col min="769" max="769" width="3" customWidth="1"/>
    <col min="770" max="770" width="46.6640625" customWidth="1"/>
    <col min="771" max="771" width="14.83203125" bestFit="1" customWidth="1"/>
    <col min="772" max="772" width="6.5" customWidth="1"/>
    <col min="773" max="773" width="16.83203125" customWidth="1"/>
    <col min="774" max="774" width="6.83203125" customWidth="1"/>
    <col min="775" max="775" width="14.5" customWidth="1"/>
    <col min="776" max="776" width="7.6640625" customWidth="1"/>
    <col min="777" max="777" width="14.83203125" customWidth="1"/>
    <col min="778" max="778" width="6.6640625" customWidth="1"/>
    <col min="779" max="779" width="14.83203125" bestFit="1" customWidth="1"/>
    <col min="780" max="780" width="8" customWidth="1"/>
    <col min="781" max="781" width="14.83203125" bestFit="1" customWidth="1"/>
    <col min="782" max="782" width="7.6640625" customWidth="1"/>
    <col min="783" max="783" width="14.5" bestFit="1" customWidth="1"/>
    <col min="784" max="784" width="7" customWidth="1"/>
    <col min="785" max="785" width="14.33203125" customWidth="1"/>
    <col min="786" max="786" width="7" customWidth="1"/>
    <col min="787" max="787" width="16.6640625" bestFit="1" customWidth="1"/>
    <col min="788" max="788" width="6.5" customWidth="1"/>
    <col min="789" max="789" width="15.83203125" customWidth="1"/>
    <col min="790" max="790" width="7" customWidth="1"/>
    <col min="791" max="791" width="14.33203125" customWidth="1"/>
    <col min="792" max="792" width="7.5" customWidth="1"/>
    <col min="793" max="793" width="17.1640625" customWidth="1"/>
    <col min="794" max="794" width="7.33203125" customWidth="1"/>
    <col min="795" max="795" width="16.5" bestFit="1" customWidth="1"/>
    <col min="1025" max="1025" width="3" customWidth="1"/>
    <col min="1026" max="1026" width="46.6640625" customWidth="1"/>
    <col min="1027" max="1027" width="14.83203125" bestFit="1" customWidth="1"/>
    <col min="1028" max="1028" width="6.5" customWidth="1"/>
    <col min="1029" max="1029" width="16.83203125" customWidth="1"/>
    <col min="1030" max="1030" width="6.83203125" customWidth="1"/>
    <col min="1031" max="1031" width="14.5" customWidth="1"/>
    <col min="1032" max="1032" width="7.6640625" customWidth="1"/>
    <col min="1033" max="1033" width="14.83203125" customWidth="1"/>
    <col min="1034" max="1034" width="6.6640625" customWidth="1"/>
    <col min="1035" max="1035" width="14.83203125" bestFit="1" customWidth="1"/>
    <col min="1036" max="1036" width="8" customWidth="1"/>
    <col min="1037" max="1037" width="14.83203125" bestFit="1" customWidth="1"/>
    <col min="1038" max="1038" width="7.6640625" customWidth="1"/>
    <col min="1039" max="1039" width="14.5" bestFit="1" customWidth="1"/>
    <col min="1040" max="1040" width="7" customWidth="1"/>
    <col min="1041" max="1041" width="14.33203125" customWidth="1"/>
    <col min="1042" max="1042" width="7" customWidth="1"/>
    <col min="1043" max="1043" width="16.6640625" bestFit="1" customWidth="1"/>
    <col min="1044" max="1044" width="6.5" customWidth="1"/>
    <col min="1045" max="1045" width="15.83203125" customWidth="1"/>
    <col min="1046" max="1046" width="7" customWidth="1"/>
    <col min="1047" max="1047" width="14.33203125" customWidth="1"/>
    <col min="1048" max="1048" width="7.5" customWidth="1"/>
    <col min="1049" max="1049" width="17.1640625" customWidth="1"/>
    <col min="1050" max="1050" width="7.33203125" customWidth="1"/>
    <col min="1051" max="1051" width="16.5" bestFit="1" customWidth="1"/>
    <col min="1281" max="1281" width="3" customWidth="1"/>
    <col min="1282" max="1282" width="46.6640625" customWidth="1"/>
    <col min="1283" max="1283" width="14.83203125" bestFit="1" customWidth="1"/>
    <col min="1284" max="1284" width="6.5" customWidth="1"/>
    <col min="1285" max="1285" width="16.83203125" customWidth="1"/>
    <col min="1286" max="1286" width="6.83203125" customWidth="1"/>
    <col min="1287" max="1287" width="14.5" customWidth="1"/>
    <col min="1288" max="1288" width="7.6640625" customWidth="1"/>
    <col min="1289" max="1289" width="14.83203125" customWidth="1"/>
    <col min="1290" max="1290" width="6.6640625" customWidth="1"/>
    <col min="1291" max="1291" width="14.83203125" bestFit="1" customWidth="1"/>
    <col min="1292" max="1292" width="8" customWidth="1"/>
    <col min="1293" max="1293" width="14.83203125" bestFit="1" customWidth="1"/>
    <col min="1294" max="1294" width="7.6640625" customWidth="1"/>
    <col min="1295" max="1295" width="14.5" bestFit="1" customWidth="1"/>
    <col min="1296" max="1296" width="7" customWidth="1"/>
    <col min="1297" max="1297" width="14.33203125" customWidth="1"/>
    <col min="1298" max="1298" width="7" customWidth="1"/>
    <col min="1299" max="1299" width="16.6640625" bestFit="1" customWidth="1"/>
    <col min="1300" max="1300" width="6.5" customWidth="1"/>
    <col min="1301" max="1301" width="15.83203125" customWidth="1"/>
    <col min="1302" max="1302" width="7" customWidth="1"/>
    <col min="1303" max="1303" width="14.33203125" customWidth="1"/>
    <col min="1304" max="1304" width="7.5" customWidth="1"/>
    <col min="1305" max="1305" width="17.1640625" customWidth="1"/>
    <col min="1306" max="1306" width="7.33203125" customWidth="1"/>
    <col min="1307" max="1307" width="16.5" bestFit="1" customWidth="1"/>
    <col min="1537" max="1537" width="3" customWidth="1"/>
    <col min="1538" max="1538" width="46.6640625" customWidth="1"/>
    <col min="1539" max="1539" width="14.83203125" bestFit="1" customWidth="1"/>
    <col min="1540" max="1540" width="6.5" customWidth="1"/>
    <col min="1541" max="1541" width="16.83203125" customWidth="1"/>
    <col min="1542" max="1542" width="6.83203125" customWidth="1"/>
    <col min="1543" max="1543" width="14.5" customWidth="1"/>
    <col min="1544" max="1544" width="7.6640625" customWidth="1"/>
    <col min="1545" max="1545" width="14.83203125" customWidth="1"/>
    <col min="1546" max="1546" width="6.6640625" customWidth="1"/>
    <col min="1547" max="1547" width="14.83203125" bestFit="1" customWidth="1"/>
    <col min="1548" max="1548" width="8" customWidth="1"/>
    <col min="1549" max="1549" width="14.83203125" bestFit="1" customWidth="1"/>
    <col min="1550" max="1550" width="7.6640625" customWidth="1"/>
    <col min="1551" max="1551" width="14.5" bestFit="1" customWidth="1"/>
    <col min="1552" max="1552" width="7" customWidth="1"/>
    <col min="1553" max="1553" width="14.33203125" customWidth="1"/>
    <col min="1554" max="1554" width="7" customWidth="1"/>
    <col min="1555" max="1555" width="16.6640625" bestFit="1" customWidth="1"/>
    <col min="1556" max="1556" width="6.5" customWidth="1"/>
    <col min="1557" max="1557" width="15.83203125" customWidth="1"/>
    <col min="1558" max="1558" width="7" customWidth="1"/>
    <col min="1559" max="1559" width="14.33203125" customWidth="1"/>
    <col min="1560" max="1560" width="7.5" customWidth="1"/>
    <col min="1561" max="1561" width="17.1640625" customWidth="1"/>
    <col min="1562" max="1562" width="7.33203125" customWidth="1"/>
    <col min="1563" max="1563" width="16.5" bestFit="1" customWidth="1"/>
    <col min="1793" max="1793" width="3" customWidth="1"/>
    <col min="1794" max="1794" width="46.6640625" customWidth="1"/>
    <col min="1795" max="1795" width="14.83203125" bestFit="1" customWidth="1"/>
    <col min="1796" max="1796" width="6.5" customWidth="1"/>
    <col min="1797" max="1797" width="16.83203125" customWidth="1"/>
    <col min="1798" max="1798" width="6.83203125" customWidth="1"/>
    <col min="1799" max="1799" width="14.5" customWidth="1"/>
    <col min="1800" max="1800" width="7.6640625" customWidth="1"/>
    <col min="1801" max="1801" width="14.83203125" customWidth="1"/>
    <col min="1802" max="1802" width="6.6640625" customWidth="1"/>
    <col min="1803" max="1803" width="14.83203125" bestFit="1" customWidth="1"/>
    <col min="1804" max="1804" width="8" customWidth="1"/>
    <col min="1805" max="1805" width="14.83203125" bestFit="1" customWidth="1"/>
    <col min="1806" max="1806" width="7.6640625" customWidth="1"/>
    <col min="1807" max="1807" width="14.5" bestFit="1" customWidth="1"/>
    <col min="1808" max="1808" width="7" customWidth="1"/>
    <col min="1809" max="1809" width="14.33203125" customWidth="1"/>
    <col min="1810" max="1810" width="7" customWidth="1"/>
    <col min="1811" max="1811" width="16.6640625" bestFit="1" customWidth="1"/>
    <col min="1812" max="1812" width="6.5" customWidth="1"/>
    <col min="1813" max="1813" width="15.83203125" customWidth="1"/>
    <col min="1814" max="1814" width="7" customWidth="1"/>
    <col min="1815" max="1815" width="14.33203125" customWidth="1"/>
    <col min="1816" max="1816" width="7.5" customWidth="1"/>
    <col min="1817" max="1817" width="17.1640625" customWidth="1"/>
    <col min="1818" max="1818" width="7.33203125" customWidth="1"/>
    <col min="1819" max="1819" width="16.5" bestFit="1" customWidth="1"/>
    <col min="2049" max="2049" width="3" customWidth="1"/>
    <col min="2050" max="2050" width="46.6640625" customWidth="1"/>
    <col min="2051" max="2051" width="14.83203125" bestFit="1" customWidth="1"/>
    <col min="2052" max="2052" width="6.5" customWidth="1"/>
    <col min="2053" max="2053" width="16.83203125" customWidth="1"/>
    <col min="2054" max="2054" width="6.83203125" customWidth="1"/>
    <col min="2055" max="2055" width="14.5" customWidth="1"/>
    <col min="2056" max="2056" width="7.6640625" customWidth="1"/>
    <col min="2057" max="2057" width="14.83203125" customWidth="1"/>
    <col min="2058" max="2058" width="6.6640625" customWidth="1"/>
    <col min="2059" max="2059" width="14.83203125" bestFit="1" customWidth="1"/>
    <col min="2060" max="2060" width="8" customWidth="1"/>
    <col min="2061" max="2061" width="14.83203125" bestFit="1" customWidth="1"/>
    <col min="2062" max="2062" width="7.6640625" customWidth="1"/>
    <col min="2063" max="2063" width="14.5" bestFit="1" customWidth="1"/>
    <col min="2064" max="2064" width="7" customWidth="1"/>
    <col min="2065" max="2065" width="14.33203125" customWidth="1"/>
    <col min="2066" max="2066" width="7" customWidth="1"/>
    <col min="2067" max="2067" width="16.6640625" bestFit="1" customWidth="1"/>
    <col min="2068" max="2068" width="6.5" customWidth="1"/>
    <col min="2069" max="2069" width="15.83203125" customWidth="1"/>
    <col min="2070" max="2070" width="7" customWidth="1"/>
    <col min="2071" max="2071" width="14.33203125" customWidth="1"/>
    <col min="2072" max="2072" width="7.5" customWidth="1"/>
    <col min="2073" max="2073" width="17.1640625" customWidth="1"/>
    <col min="2074" max="2074" width="7.33203125" customWidth="1"/>
    <col min="2075" max="2075" width="16.5" bestFit="1" customWidth="1"/>
    <col min="2305" max="2305" width="3" customWidth="1"/>
    <col min="2306" max="2306" width="46.6640625" customWidth="1"/>
    <col min="2307" max="2307" width="14.83203125" bestFit="1" customWidth="1"/>
    <col min="2308" max="2308" width="6.5" customWidth="1"/>
    <col min="2309" max="2309" width="16.83203125" customWidth="1"/>
    <col min="2310" max="2310" width="6.83203125" customWidth="1"/>
    <col min="2311" max="2311" width="14.5" customWidth="1"/>
    <col min="2312" max="2312" width="7.6640625" customWidth="1"/>
    <col min="2313" max="2313" width="14.83203125" customWidth="1"/>
    <col min="2314" max="2314" width="6.6640625" customWidth="1"/>
    <col min="2315" max="2315" width="14.83203125" bestFit="1" customWidth="1"/>
    <col min="2316" max="2316" width="8" customWidth="1"/>
    <col min="2317" max="2317" width="14.83203125" bestFit="1" customWidth="1"/>
    <col min="2318" max="2318" width="7.6640625" customWidth="1"/>
    <col min="2319" max="2319" width="14.5" bestFit="1" customWidth="1"/>
    <col min="2320" max="2320" width="7" customWidth="1"/>
    <col min="2321" max="2321" width="14.33203125" customWidth="1"/>
    <col min="2322" max="2322" width="7" customWidth="1"/>
    <col min="2323" max="2323" width="16.6640625" bestFit="1" customWidth="1"/>
    <col min="2324" max="2324" width="6.5" customWidth="1"/>
    <col min="2325" max="2325" width="15.83203125" customWidth="1"/>
    <col min="2326" max="2326" width="7" customWidth="1"/>
    <col min="2327" max="2327" width="14.33203125" customWidth="1"/>
    <col min="2328" max="2328" width="7.5" customWidth="1"/>
    <col min="2329" max="2329" width="17.1640625" customWidth="1"/>
    <col min="2330" max="2330" width="7.33203125" customWidth="1"/>
    <col min="2331" max="2331" width="16.5" bestFit="1" customWidth="1"/>
    <col min="2561" max="2561" width="3" customWidth="1"/>
    <col min="2562" max="2562" width="46.6640625" customWidth="1"/>
    <col min="2563" max="2563" width="14.83203125" bestFit="1" customWidth="1"/>
    <col min="2564" max="2564" width="6.5" customWidth="1"/>
    <col min="2565" max="2565" width="16.83203125" customWidth="1"/>
    <col min="2566" max="2566" width="6.83203125" customWidth="1"/>
    <col min="2567" max="2567" width="14.5" customWidth="1"/>
    <col min="2568" max="2568" width="7.6640625" customWidth="1"/>
    <col min="2569" max="2569" width="14.83203125" customWidth="1"/>
    <col min="2570" max="2570" width="6.6640625" customWidth="1"/>
    <col min="2571" max="2571" width="14.83203125" bestFit="1" customWidth="1"/>
    <col min="2572" max="2572" width="8" customWidth="1"/>
    <col min="2573" max="2573" width="14.83203125" bestFit="1" customWidth="1"/>
    <col min="2574" max="2574" width="7.6640625" customWidth="1"/>
    <col min="2575" max="2575" width="14.5" bestFit="1" customWidth="1"/>
    <col min="2576" max="2576" width="7" customWidth="1"/>
    <col min="2577" max="2577" width="14.33203125" customWidth="1"/>
    <col min="2578" max="2578" width="7" customWidth="1"/>
    <col min="2579" max="2579" width="16.6640625" bestFit="1" customWidth="1"/>
    <col min="2580" max="2580" width="6.5" customWidth="1"/>
    <col min="2581" max="2581" width="15.83203125" customWidth="1"/>
    <col min="2582" max="2582" width="7" customWidth="1"/>
    <col min="2583" max="2583" width="14.33203125" customWidth="1"/>
    <col min="2584" max="2584" width="7.5" customWidth="1"/>
    <col min="2585" max="2585" width="17.1640625" customWidth="1"/>
    <col min="2586" max="2586" width="7.33203125" customWidth="1"/>
    <col min="2587" max="2587" width="16.5" bestFit="1" customWidth="1"/>
    <col min="2817" max="2817" width="3" customWidth="1"/>
    <col min="2818" max="2818" width="46.6640625" customWidth="1"/>
    <col min="2819" max="2819" width="14.83203125" bestFit="1" customWidth="1"/>
    <col min="2820" max="2820" width="6.5" customWidth="1"/>
    <col min="2821" max="2821" width="16.83203125" customWidth="1"/>
    <col min="2822" max="2822" width="6.83203125" customWidth="1"/>
    <col min="2823" max="2823" width="14.5" customWidth="1"/>
    <col min="2824" max="2824" width="7.6640625" customWidth="1"/>
    <col min="2825" max="2825" width="14.83203125" customWidth="1"/>
    <col min="2826" max="2826" width="6.6640625" customWidth="1"/>
    <col min="2827" max="2827" width="14.83203125" bestFit="1" customWidth="1"/>
    <col min="2828" max="2828" width="8" customWidth="1"/>
    <col min="2829" max="2829" width="14.83203125" bestFit="1" customWidth="1"/>
    <col min="2830" max="2830" width="7.6640625" customWidth="1"/>
    <col min="2831" max="2831" width="14.5" bestFit="1" customWidth="1"/>
    <col min="2832" max="2832" width="7" customWidth="1"/>
    <col min="2833" max="2833" width="14.33203125" customWidth="1"/>
    <col min="2834" max="2834" width="7" customWidth="1"/>
    <col min="2835" max="2835" width="16.6640625" bestFit="1" customWidth="1"/>
    <col min="2836" max="2836" width="6.5" customWidth="1"/>
    <col min="2837" max="2837" width="15.83203125" customWidth="1"/>
    <col min="2838" max="2838" width="7" customWidth="1"/>
    <col min="2839" max="2839" width="14.33203125" customWidth="1"/>
    <col min="2840" max="2840" width="7.5" customWidth="1"/>
    <col min="2841" max="2841" width="17.1640625" customWidth="1"/>
    <col min="2842" max="2842" width="7.33203125" customWidth="1"/>
    <col min="2843" max="2843" width="16.5" bestFit="1" customWidth="1"/>
    <col min="3073" max="3073" width="3" customWidth="1"/>
    <col min="3074" max="3074" width="46.6640625" customWidth="1"/>
    <col min="3075" max="3075" width="14.83203125" bestFit="1" customWidth="1"/>
    <col min="3076" max="3076" width="6.5" customWidth="1"/>
    <col min="3077" max="3077" width="16.83203125" customWidth="1"/>
    <col min="3078" max="3078" width="6.83203125" customWidth="1"/>
    <col min="3079" max="3079" width="14.5" customWidth="1"/>
    <col min="3080" max="3080" width="7.6640625" customWidth="1"/>
    <col min="3081" max="3081" width="14.83203125" customWidth="1"/>
    <col min="3082" max="3082" width="6.6640625" customWidth="1"/>
    <col min="3083" max="3083" width="14.83203125" bestFit="1" customWidth="1"/>
    <col min="3084" max="3084" width="8" customWidth="1"/>
    <col min="3085" max="3085" width="14.83203125" bestFit="1" customWidth="1"/>
    <col min="3086" max="3086" width="7.6640625" customWidth="1"/>
    <col min="3087" max="3087" width="14.5" bestFit="1" customWidth="1"/>
    <col min="3088" max="3088" width="7" customWidth="1"/>
    <col min="3089" max="3089" width="14.33203125" customWidth="1"/>
    <col min="3090" max="3090" width="7" customWidth="1"/>
    <col min="3091" max="3091" width="16.6640625" bestFit="1" customWidth="1"/>
    <col min="3092" max="3092" width="6.5" customWidth="1"/>
    <col min="3093" max="3093" width="15.83203125" customWidth="1"/>
    <col min="3094" max="3094" width="7" customWidth="1"/>
    <col min="3095" max="3095" width="14.33203125" customWidth="1"/>
    <col min="3096" max="3096" width="7.5" customWidth="1"/>
    <col min="3097" max="3097" width="17.1640625" customWidth="1"/>
    <col min="3098" max="3098" width="7.33203125" customWidth="1"/>
    <col min="3099" max="3099" width="16.5" bestFit="1" customWidth="1"/>
    <col min="3329" max="3329" width="3" customWidth="1"/>
    <col min="3330" max="3330" width="46.6640625" customWidth="1"/>
    <col min="3331" max="3331" width="14.83203125" bestFit="1" customWidth="1"/>
    <col min="3332" max="3332" width="6.5" customWidth="1"/>
    <col min="3333" max="3333" width="16.83203125" customWidth="1"/>
    <col min="3334" max="3334" width="6.83203125" customWidth="1"/>
    <col min="3335" max="3335" width="14.5" customWidth="1"/>
    <col min="3336" max="3336" width="7.6640625" customWidth="1"/>
    <col min="3337" max="3337" width="14.83203125" customWidth="1"/>
    <col min="3338" max="3338" width="6.6640625" customWidth="1"/>
    <col min="3339" max="3339" width="14.83203125" bestFit="1" customWidth="1"/>
    <col min="3340" max="3340" width="8" customWidth="1"/>
    <col min="3341" max="3341" width="14.83203125" bestFit="1" customWidth="1"/>
    <col min="3342" max="3342" width="7.6640625" customWidth="1"/>
    <col min="3343" max="3343" width="14.5" bestFit="1" customWidth="1"/>
    <col min="3344" max="3344" width="7" customWidth="1"/>
    <col min="3345" max="3345" width="14.33203125" customWidth="1"/>
    <col min="3346" max="3346" width="7" customWidth="1"/>
    <col min="3347" max="3347" width="16.6640625" bestFit="1" customWidth="1"/>
    <col min="3348" max="3348" width="6.5" customWidth="1"/>
    <col min="3349" max="3349" width="15.83203125" customWidth="1"/>
    <col min="3350" max="3350" width="7" customWidth="1"/>
    <col min="3351" max="3351" width="14.33203125" customWidth="1"/>
    <col min="3352" max="3352" width="7.5" customWidth="1"/>
    <col min="3353" max="3353" width="17.1640625" customWidth="1"/>
    <col min="3354" max="3354" width="7.33203125" customWidth="1"/>
    <col min="3355" max="3355" width="16.5" bestFit="1" customWidth="1"/>
    <col min="3585" max="3585" width="3" customWidth="1"/>
    <col min="3586" max="3586" width="46.6640625" customWidth="1"/>
    <col min="3587" max="3587" width="14.83203125" bestFit="1" customWidth="1"/>
    <col min="3588" max="3588" width="6.5" customWidth="1"/>
    <col min="3589" max="3589" width="16.83203125" customWidth="1"/>
    <col min="3590" max="3590" width="6.83203125" customWidth="1"/>
    <col min="3591" max="3591" width="14.5" customWidth="1"/>
    <col min="3592" max="3592" width="7.6640625" customWidth="1"/>
    <col min="3593" max="3593" width="14.83203125" customWidth="1"/>
    <col min="3594" max="3594" width="6.6640625" customWidth="1"/>
    <col min="3595" max="3595" width="14.83203125" bestFit="1" customWidth="1"/>
    <col min="3596" max="3596" width="8" customWidth="1"/>
    <col min="3597" max="3597" width="14.83203125" bestFit="1" customWidth="1"/>
    <col min="3598" max="3598" width="7.6640625" customWidth="1"/>
    <col min="3599" max="3599" width="14.5" bestFit="1" customWidth="1"/>
    <col min="3600" max="3600" width="7" customWidth="1"/>
    <col min="3601" max="3601" width="14.33203125" customWidth="1"/>
    <col min="3602" max="3602" width="7" customWidth="1"/>
    <col min="3603" max="3603" width="16.6640625" bestFit="1" customWidth="1"/>
    <col min="3604" max="3604" width="6.5" customWidth="1"/>
    <col min="3605" max="3605" width="15.83203125" customWidth="1"/>
    <col min="3606" max="3606" width="7" customWidth="1"/>
    <col min="3607" max="3607" width="14.33203125" customWidth="1"/>
    <col min="3608" max="3608" width="7.5" customWidth="1"/>
    <col min="3609" max="3609" width="17.1640625" customWidth="1"/>
    <col min="3610" max="3610" width="7.33203125" customWidth="1"/>
    <col min="3611" max="3611" width="16.5" bestFit="1" customWidth="1"/>
    <col min="3841" max="3841" width="3" customWidth="1"/>
    <col min="3842" max="3842" width="46.6640625" customWidth="1"/>
    <col min="3843" max="3843" width="14.83203125" bestFit="1" customWidth="1"/>
    <col min="3844" max="3844" width="6.5" customWidth="1"/>
    <col min="3845" max="3845" width="16.83203125" customWidth="1"/>
    <col min="3846" max="3846" width="6.83203125" customWidth="1"/>
    <col min="3847" max="3847" width="14.5" customWidth="1"/>
    <col min="3848" max="3848" width="7.6640625" customWidth="1"/>
    <col min="3849" max="3849" width="14.83203125" customWidth="1"/>
    <col min="3850" max="3850" width="6.6640625" customWidth="1"/>
    <col min="3851" max="3851" width="14.83203125" bestFit="1" customWidth="1"/>
    <col min="3852" max="3852" width="8" customWidth="1"/>
    <col min="3853" max="3853" width="14.83203125" bestFit="1" customWidth="1"/>
    <col min="3854" max="3854" width="7.6640625" customWidth="1"/>
    <col min="3855" max="3855" width="14.5" bestFit="1" customWidth="1"/>
    <col min="3856" max="3856" width="7" customWidth="1"/>
    <col min="3857" max="3857" width="14.33203125" customWidth="1"/>
    <col min="3858" max="3858" width="7" customWidth="1"/>
    <col min="3859" max="3859" width="16.6640625" bestFit="1" customWidth="1"/>
    <col min="3860" max="3860" width="6.5" customWidth="1"/>
    <col min="3861" max="3861" width="15.83203125" customWidth="1"/>
    <col min="3862" max="3862" width="7" customWidth="1"/>
    <col min="3863" max="3863" width="14.33203125" customWidth="1"/>
    <col min="3864" max="3864" width="7.5" customWidth="1"/>
    <col min="3865" max="3865" width="17.1640625" customWidth="1"/>
    <col min="3866" max="3866" width="7.33203125" customWidth="1"/>
    <col min="3867" max="3867" width="16.5" bestFit="1" customWidth="1"/>
    <col min="4097" max="4097" width="3" customWidth="1"/>
    <col min="4098" max="4098" width="46.6640625" customWidth="1"/>
    <col min="4099" max="4099" width="14.83203125" bestFit="1" customWidth="1"/>
    <col min="4100" max="4100" width="6.5" customWidth="1"/>
    <col min="4101" max="4101" width="16.83203125" customWidth="1"/>
    <col min="4102" max="4102" width="6.83203125" customWidth="1"/>
    <col min="4103" max="4103" width="14.5" customWidth="1"/>
    <col min="4104" max="4104" width="7.6640625" customWidth="1"/>
    <col min="4105" max="4105" width="14.83203125" customWidth="1"/>
    <col min="4106" max="4106" width="6.6640625" customWidth="1"/>
    <col min="4107" max="4107" width="14.83203125" bestFit="1" customWidth="1"/>
    <col min="4108" max="4108" width="8" customWidth="1"/>
    <col min="4109" max="4109" width="14.83203125" bestFit="1" customWidth="1"/>
    <col min="4110" max="4110" width="7.6640625" customWidth="1"/>
    <col min="4111" max="4111" width="14.5" bestFit="1" customWidth="1"/>
    <col min="4112" max="4112" width="7" customWidth="1"/>
    <col min="4113" max="4113" width="14.33203125" customWidth="1"/>
    <col min="4114" max="4114" width="7" customWidth="1"/>
    <col min="4115" max="4115" width="16.6640625" bestFit="1" customWidth="1"/>
    <col min="4116" max="4116" width="6.5" customWidth="1"/>
    <col min="4117" max="4117" width="15.83203125" customWidth="1"/>
    <col min="4118" max="4118" width="7" customWidth="1"/>
    <col min="4119" max="4119" width="14.33203125" customWidth="1"/>
    <col min="4120" max="4120" width="7.5" customWidth="1"/>
    <col min="4121" max="4121" width="17.1640625" customWidth="1"/>
    <col min="4122" max="4122" width="7.33203125" customWidth="1"/>
    <col min="4123" max="4123" width="16.5" bestFit="1" customWidth="1"/>
    <col min="4353" max="4353" width="3" customWidth="1"/>
    <col min="4354" max="4354" width="46.6640625" customWidth="1"/>
    <col min="4355" max="4355" width="14.83203125" bestFit="1" customWidth="1"/>
    <col min="4356" max="4356" width="6.5" customWidth="1"/>
    <col min="4357" max="4357" width="16.83203125" customWidth="1"/>
    <col min="4358" max="4358" width="6.83203125" customWidth="1"/>
    <col min="4359" max="4359" width="14.5" customWidth="1"/>
    <col min="4360" max="4360" width="7.6640625" customWidth="1"/>
    <col min="4361" max="4361" width="14.83203125" customWidth="1"/>
    <col min="4362" max="4362" width="6.6640625" customWidth="1"/>
    <col min="4363" max="4363" width="14.83203125" bestFit="1" customWidth="1"/>
    <col min="4364" max="4364" width="8" customWidth="1"/>
    <col min="4365" max="4365" width="14.83203125" bestFit="1" customWidth="1"/>
    <col min="4366" max="4366" width="7.6640625" customWidth="1"/>
    <col min="4367" max="4367" width="14.5" bestFit="1" customWidth="1"/>
    <col min="4368" max="4368" width="7" customWidth="1"/>
    <col min="4369" max="4369" width="14.33203125" customWidth="1"/>
    <col min="4370" max="4370" width="7" customWidth="1"/>
    <col min="4371" max="4371" width="16.6640625" bestFit="1" customWidth="1"/>
    <col min="4372" max="4372" width="6.5" customWidth="1"/>
    <col min="4373" max="4373" width="15.83203125" customWidth="1"/>
    <col min="4374" max="4374" width="7" customWidth="1"/>
    <col min="4375" max="4375" width="14.33203125" customWidth="1"/>
    <col min="4376" max="4376" width="7.5" customWidth="1"/>
    <col min="4377" max="4377" width="17.1640625" customWidth="1"/>
    <col min="4378" max="4378" width="7.33203125" customWidth="1"/>
    <col min="4379" max="4379" width="16.5" bestFit="1" customWidth="1"/>
    <col min="4609" max="4609" width="3" customWidth="1"/>
    <col min="4610" max="4610" width="46.6640625" customWidth="1"/>
    <col min="4611" max="4611" width="14.83203125" bestFit="1" customWidth="1"/>
    <col min="4612" max="4612" width="6.5" customWidth="1"/>
    <col min="4613" max="4613" width="16.83203125" customWidth="1"/>
    <col min="4614" max="4614" width="6.83203125" customWidth="1"/>
    <col min="4615" max="4615" width="14.5" customWidth="1"/>
    <col min="4616" max="4616" width="7.6640625" customWidth="1"/>
    <col min="4617" max="4617" width="14.83203125" customWidth="1"/>
    <col min="4618" max="4618" width="6.6640625" customWidth="1"/>
    <col min="4619" max="4619" width="14.83203125" bestFit="1" customWidth="1"/>
    <col min="4620" max="4620" width="8" customWidth="1"/>
    <col min="4621" max="4621" width="14.83203125" bestFit="1" customWidth="1"/>
    <col min="4622" max="4622" width="7.6640625" customWidth="1"/>
    <col min="4623" max="4623" width="14.5" bestFit="1" customWidth="1"/>
    <col min="4624" max="4624" width="7" customWidth="1"/>
    <col min="4625" max="4625" width="14.33203125" customWidth="1"/>
    <col min="4626" max="4626" width="7" customWidth="1"/>
    <col min="4627" max="4627" width="16.6640625" bestFit="1" customWidth="1"/>
    <col min="4628" max="4628" width="6.5" customWidth="1"/>
    <col min="4629" max="4629" width="15.83203125" customWidth="1"/>
    <col min="4630" max="4630" width="7" customWidth="1"/>
    <col min="4631" max="4631" width="14.33203125" customWidth="1"/>
    <col min="4632" max="4632" width="7.5" customWidth="1"/>
    <col min="4633" max="4633" width="17.1640625" customWidth="1"/>
    <col min="4634" max="4634" width="7.33203125" customWidth="1"/>
    <col min="4635" max="4635" width="16.5" bestFit="1" customWidth="1"/>
    <col min="4865" max="4865" width="3" customWidth="1"/>
    <col min="4866" max="4866" width="46.6640625" customWidth="1"/>
    <col min="4867" max="4867" width="14.83203125" bestFit="1" customWidth="1"/>
    <col min="4868" max="4868" width="6.5" customWidth="1"/>
    <col min="4869" max="4869" width="16.83203125" customWidth="1"/>
    <col min="4870" max="4870" width="6.83203125" customWidth="1"/>
    <col min="4871" max="4871" width="14.5" customWidth="1"/>
    <col min="4872" max="4872" width="7.6640625" customWidth="1"/>
    <col min="4873" max="4873" width="14.83203125" customWidth="1"/>
    <col min="4874" max="4874" width="6.6640625" customWidth="1"/>
    <col min="4875" max="4875" width="14.83203125" bestFit="1" customWidth="1"/>
    <col min="4876" max="4876" width="8" customWidth="1"/>
    <col min="4877" max="4877" width="14.83203125" bestFit="1" customWidth="1"/>
    <col min="4878" max="4878" width="7.6640625" customWidth="1"/>
    <col min="4879" max="4879" width="14.5" bestFit="1" customWidth="1"/>
    <col min="4880" max="4880" width="7" customWidth="1"/>
    <col min="4881" max="4881" width="14.33203125" customWidth="1"/>
    <col min="4882" max="4882" width="7" customWidth="1"/>
    <col min="4883" max="4883" width="16.6640625" bestFit="1" customWidth="1"/>
    <col min="4884" max="4884" width="6.5" customWidth="1"/>
    <col min="4885" max="4885" width="15.83203125" customWidth="1"/>
    <col min="4886" max="4886" width="7" customWidth="1"/>
    <col min="4887" max="4887" width="14.33203125" customWidth="1"/>
    <col min="4888" max="4888" width="7.5" customWidth="1"/>
    <col min="4889" max="4889" width="17.1640625" customWidth="1"/>
    <col min="4890" max="4890" width="7.33203125" customWidth="1"/>
    <col min="4891" max="4891" width="16.5" bestFit="1" customWidth="1"/>
    <col min="5121" max="5121" width="3" customWidth="1"/>
    <col min="5122" max="5122" width="46.6640625" customWidth="1"/>
    <col min="5123" max="5123" width="14.83203125" bestFit="1" customWidth="1"/>
    <col min="5124" max="5124" width="6.5" customWidth="1"/>
    <col min="5125" max="5125" width="16.83203125" customWidth="1"/>
    <col min="5126" max="5126" width="6.83203125" customWidth="1"/>
    <col min="5127" max="5127" width="14.5" customWidth="1"/>
    <col min="5128" max="5128" width="7.6640625" customWidth="1"/>
    <col min="5129" max="5129" width="14.83203125" customWidth="1"/>
    <col min="5130" max="5130" width="6.6640625" customWidth="1"/>
    <col min="5131" max="5131" width="14.83203125" bestFit="1" customWidth="1"/>
    <col min="5132" max="5132" width="8" customWidth="1"/>
    <col min="5133" max="5133" width="14.83203125" bestFit="1" customWidth="1"/>
    <col min="5134" max="5134" width="7.6640625" customWidth="1"/>
    <col min="5135" max="5135" width="14.5" bestFit="1" customWidth="1"/>
    <col min="5136" max="5136" width="7" customWidth="1"/>
    <col min="5137" max="5137" width="14.33203125" customWidth="1"/>
    <col min="5138" max="5138" width="7" customWidth="1"/>
    <col min="5139" max="5139" width="16.6640625" bestFit="1" customWidth="1"/>
    <col min="5140" max="5140" width="6.5" customWidth="1"/>
    <col min="5141" max="5141" width="15.83203125" customWidth="1"/>
    <col min="5142" max="5142" width="7" customWidth="1"/>
    <col min="5143" max="5143" width="14.33203125" customWidth="1"/>
    <col min="5144" max="5144" width="7.5" customWidth="1"/>
    <col min="5145" max="5145" width="17.1640625" customWidth="1"/>
    <col min="5146" max="5146" width="7.33203125" customWidth="1"/>
    <col min="5147" max="5147" width="16.5" bestFit="1" customWidth="1"/>
    <col min="5377" max="5377" width="3" customWidth="1"/>
    <col min="5378" max="5378" width="46.6640625" customWidth="1"/>
    <col min="5379" max="5379" width="14.83203125" bestFit="1" customWidth="1"/>
    <col min="5380" max="5380" width="6.5" customWidth="1"/>
    <col min="5381" max="5381" width="16.83203125" customWidth="1"/>
    <col min="5382" max="5382" width="6.83203125" customWidth="1"/>
    <col min="5383" max="5383" width="14.5" customWidth="1"/>
    <col min="5384" max="5384" width="7.6640625" customWidth="1"/>
    <col min="5385" max="5385" width="14.83203125" customWidth="1"/>
    <col min="5386" max="5386" width="6.6640625" customWidth="1"/>
    <col min="5387" max="5387" width="14.83203125" bestFit="1" customWidth="1"/>
    <col min="5388" max="5388" width="8" customWidth="1"/>
    <col min="5389" max="5389" width="14.83203125" bestFit="1" customWidth="1"/>
    <col min="5390" max="5390" width="7.6640625" customWidth="1"/>
    <col min="5391" max="5391" width="14.5" bestFit="1" customWidth="1"/>
    <col min="5392" max="5392" width="7" customWidth="1"/>
    <col min="5393" max="5393" width="14.33203125" customWidth="1"/>
    <col min="5394" max="5394" width="7" customWidth="1"/>
    <col min="5395" max="5395" width="16.6640625" bestFit="1" customWidth="1"/>
    <col min="5396" max="5396" width="6.5" customWidth="1"/>
    <col min="5397" max="5397" width="15.83203125" customWidth="1"/>
    <col min="5398" max="5398" width="7" customWidth="1"/>
    <col min="5399" max="5399" width="14.33203125" customWidth="1"/>
    <col min="5400" max="5400" width="7.5" customWidth="1"/>
    <col min="5401" max="5401" width="17.1640625" customWidth="1"/>
    <col min="5402" max="5402" width="7.33203125" customWidth="1"/>
    <col min="5403" max="5403" width="16.5" bestFit="1" customWidth="1"/>
    <col min="5633" max="5633" width="3" customWidth="1"/>
    <col min="5634" max="5634" width="46.6640625" customWidth="1"/>
    <col min="5635" max="5635" width="14.83203125" bestFit="1" customWidth="1"/>
    <col min="5636" max="5636" width="6.5" customWidth="1"/>
    <col min="5637" max="5637" width="16.83203125" customWidth="1"/>
    <col min="5638" max="5638" width="6.83203125" customWidth="1"/>
    <col min="5639" max="5639" width="14.5" customWidth="1"/>
    <col min="5640" max="5640" width="7.6640625" customWidth="1"/>
    <col min="5641" max="5641" width="14.83203125" customWidth="1"/>
    <col min="5642" max="5642" width="6.6640625" customWidth="1"/>
    <col min="5643" max="5643" width="14.83203125" bestFit="1" customWidth="1"/>
    <col min="5644" max="5644" width="8" customWidth="1"/>
    <col min="5645" max="5645" width="14.83203125" bestFit="1" customWidth="1"/>
    <col min="5646" max="5646" width="7.6640625" customWidth="1"/>
    <col min="5647" max="5647" width="14.5" bestFit="1" customWidth="1"/>
    <col min="5648" max="5648" width="7" customWidth="1"/>
    <col min="5649" max="5649" width="14.33203125" customWidth="1"/>
    <col min="5650" max="5650" width="7" customWidth="1"/>
    <col min="5651" max="5651" width="16.6640625" bestFit="1" customWidth="1"/>
    <col min="5652" max="5652" width="6.5" customWidth="1"/>
    <col min="5653" max="5653" width="15.83203125" customWidth="1"/>
    <col min="5654" max="5654" width="7" customWidth="1"/>
    <col min="5655" max="5655" width="14.33203125" customWidth="1"/>
    <col min="5656" max="5656" width="7.5" customWidth="1"/>
    <col min="5657" max="5657" width="17.1640625" customWidth="1"/>
    <col min="5658" max="5658" width="7.33203125" customWidth="1"/>
    <col min="5659" max="5659" width="16.5" bestFit="1" customWidth="1"/>
    <col min="5889" max="5889" width="3" customWidth="1"/>
    <col min="5890" max="5890" width="46.6640625" customWidth="1"/>
    <col min="5891" max="5891" width="14.83203125" bestFit="1" customWidth="1"/>
    <col min="5892" max="5892" width="6.5" customWidth="1"/>
    <col min="5893" max="5893" width="16.83203125" customWidth="1"/>
    <col min="5894" max="5894" width="6.83203125" customWidth="1"/>
    <col min="5895" max="5895" width="14.5" customWidth="1"/>
    <col min="5896" max="5896" width="7.6640625" customWidth="1"/>
    <col min="5897" max="5897" width="14.83203125" customWidth="1"/>
    <col min="5898" max="5898" width="6.6640625" customWidth="1"/>
    <col min="5899" max="5899" width="14.83203125" bestFit="1" customWidth="1"/>
    <col min="5900" max="5900" width="8" customWidth="1"/>
    <col min="5901" max="5901" width="14.83203125" bestFit="1" customWidth="1"/>
    <col min="5902" max="5902" width="7.6640625" customWidth="1"/>
    <col min="5903" max="5903" width="14.5" bestFit="1" customWidth="1"/>
    <col min="5904" max="5904" width="7" customWidth="1"/>
    <col min="5905" max="5905" width="14.33203125" customWidth="1"/>
    <col min="5906" max="5906" width="7" customWidth="1"/>
    <col min="5907" max="5907" width="16.6640625" bestFit="1" customWidth="1"/>
    <col min="5908" max="5908" width="6.5" customWidth="1"/>
    <col min="5909" max="5909" width="15.83203125" customWidth="1"/>
    <col min="5910" max="5910" width="7" customWidth="1"/>
    <col min="5911" max="5911" width="14.33203125" customWidth="1"/>
    <col min="5912" max="5912" width="7.5" customWidth="1"/>
    <col min="5913" max="5913" width="17.1640625" customWidth="1"/>
    <col min="5914" max="5914" width="7.33203125" customWidth="1"/>
    <col min="5915" max="5915" width="16.5" bestFit="1" customWidth="1"/>
    <col min="6145" max="6145" width="3" customWidth="1"/>
    <col min="6146" max="6146" width="46.6640625" customWidth="1"/>
    <col min="6147" max="6147" width="14.83203125" bestFit="1" customWidth="1"/>
    <col min="6148" max="6148" width="6.5" customWidth="1"/>
    <col min="6149" max="6149" width="16.83203125" customWidth="1"/>
    <col min="6150" max="6150" width="6.83203125" customWidth="1"/>
    <col min="6151" max="6151" width="14.5" customWidth="1"/>
    <col min="6152" max="6152" width="7.6640625" customWidth="1"/>
    <col min="6153" max="6153" width="14.83203125" customWidth="1"/>
    <col min="6154" max="6154" width="6.6640625" customWidth="1"/>
    <col min="6155" max="6155" width="14.83203125" bestFit="1" customWidth="1"/>
    <col min="6156" max="6156" width="8" customWidth="1"/>
    <col min="6157" max="6157" width="14.83203125" bestFit="1" customWidth="1"/>
    <col min="6158" max="6158" width="7.6640625" customWidth="1"/>
    <col min="6159" max="6159" width="14.5" bestFit="1" customWidth="1"/>
    <col min="6160" max="6160" width="7" customWidth="1"/>
    <col min="6161" max="6161" width="14.33203125" customWidth="1"/>
    <col min="6162" max="6162" width="7" customWidth="1"/>
    <col min="6163" max="6163" width="16.6640625" bestFit="1" customWidth="1"/>
    <col min="6164" max="6164" width="6.5" customWidth="1"/>
    <col min="6165" max="6165" width="15.83203125" customWidth="1"/>
    <col min="6166" max="6166" width="7" customWidth="1"/>
    <col min="6167" max="6167" width="14.33203125" customWidth="1"/>
    <col min="6168" max="6168" width="7.5" customWidth="1"/>
    <col min="6169" max="6169" width="17.1640625" customWidth="1"/>
    <col min="6170" max="6170" width="7.33203125" customWidth="1"/>
    <col min="6171" max="6171" width="16.5" bestFit="1" customWidth="1"/>
    <col min="6401" max="6401" width="3" customWidth="1"/>
    <col min="6402" max="6402" width="46.6640625" customWidth="1"/>
    <col min="6403" max="6403" width="14.83203125" bestFit="1" customWidth="1"/>
    <col min="6404" max="6404" width="6.5" customWidth="1"/>
    <col min="6405" max="6405" width="16.83203125" customWidth="1"/>
    <col min="6406" max="6406" width="6.83203125" customWidth="1"/>
    <col min="6407" max="6407" width="14.5" customWidth="1"/>
    <col min="6408" max="6408" width="7.6640625" customWidth="1"/>
    <col min="6409" max="6409" width="14.83203125" customWidth="1"/>
    <col min="6410" max="6410" width="6.6640625" customWidth="1"/>
    <col min="6411" max="6411" width="14.83203125" bestFit="1" customWidth="1"/>
    <col min="6412" max="6412" width="8" customWidth="1"/>
    <col min="6413" max="6413" width="14.83203125" bestFit="1" customWidth="1"/>
    <col min="6414" max="6414" width="7.6640625" customWidth="1"/>
    <col min="6415" max="6415" width="14.5" bestFit="1" customWidth="1"/>
    <col min="6416" max="6416" width="7" customWidth="1"/>
    <col min="6417" max="6417" width="14.33203125" customWidth="1"/>
    <col min="6418" max="6418" width="7" customWidth="1"/>
    <col min="6419" max="6419" width="16.6640625" bestFit="1" customWidth="1"/>
    <col min="6420" max="6420" width="6.5" customWidth="1"/>
    <col min="6421" max="6421" width="15.83203125" customWidth="1"/>
    <col min="6422" max="6422" width="7" customWidth="1"/>
    <col min="6423" max="6423" width="14.33203125" customWidth="1"/>
    <col min="6424" max="6424" width="7.5" customWidth="1"/>
    <col min="6425" max="6425" width="17.1640625" customWidth="1"/>
    <col min="6426" max="6426" width="7.33203125" customWidth="1"/>
    <col min="6427" max="6427" width="16.5" bestFit="1" customWidth="1"/>
    <col min="6657" max="6657" width="3" customWidth="1"/>
    <col min="6658" max="6658" width="46.6640625" customWidth="1"/>
    <col min="6659" max="6659" width="14.83203125" bestFit="1" customWidth="1"/>
    <col min="6660" max="6660" width="6.5" customWidth="1"/>
    <col min="6661" max="6661" width="16.83203125" customWidth="1"/>
    <col min="6662" max="6662" width="6.83203125" customWidth="1"/>
    <col min="6663" max="6663" width="14.5" customWidth="1"/>
    <col min="6664" max="6664" width="7.6640625" customWidth="1"/>
    <col min="6665" max="6665" width="14.83203125" customWidth="1"/>
    <col min="6666" max="6666" width="6.6640625" customWidth="1"/>
    <col min="6667" max="6667" width="14.83203125" bestFit="1" customWidth="1"/>
    <col min="6668" max="6668" width="8" customWidth="1"/>
    <col min="6669" max="6669" width="14.83203125" bestFit="1" customWidth="1"/>
    <col min="6670" max="6670" width="7.6640625" customWidth="1"/>
    <col min="6671" max="6671" width="14.5" bestFit="1" customWidth="1"/>
    <col min="6672" max="6672" width="7" customWidth="1"/>
    <col min="6673" max="6673" width="14.33203125" customWidth="1"/>
    <col min="6674" max="6674" width="7" customWidth="1"/>
    <col min="6675" max="6675" width="16.6640625" bestFit="1" customWidth="1"/>
    <col min="6676" max="6676" width="6.5" customWidth="1"/>
    <col min="6677" max="6677" width="15.83203125" customWidth="1"/>
    <col min="6678" max="6678" width="7" customWidth="1"/>
    <col min="6679" max="6679" width="14.33203125" customWidth="1"/>
    <col min="6680" max="6680" width="7.5" customWidth="1"/>
    <col min="6681" max="6681" width="17.1640625" customWidth="1"/>
    <col min="6682" max="6682" width="7.33203125" customWidth="1"/>
    <col min="6683" max="6683" width="16.5" bestFit="1" customWidth="1"/>
    <col min="6913" max="6913" width="3" customWidth="1"/>
    <col min="6914" max="6914" width="46.6640625" customWidth="1"/>
    <col min="6915" max="6915" width="14.83203125" bestFit="1" customWidth="1"/>
    <col min="6916" max="6916" width="6.5" customWidth="1"/>
    <col min="6917" max="6917" width="16.83203125" customWidth="1"/>
    <col min="6918" max="6918" width="6.83203125" customWidth="1"/>
    <col min="6919" max="6919" width="14.5" customWidth="1"/>
    <col min="6920" max="6920" width="7.6640625" customWidth="1"/>
    <col min="6921" max="6921" width="14.83203125" customWidth="1"/>
    <col min="6922" max="6922" width="6.6640625" customWidth="1"/>
    <col min="6923" max="6923" width="14.83203125" bestFit="1" customWidth="1"/>
    <col min="6924" max="6924" width="8" customWidth="1"/>
    <col min="6925" max="6925" width="14.83203125" bestFit="1" customWidth="1"/>
    <col min="6926" max="6926" width="7.6640625" customWidth="1"/>
    <col min="6927" max="6927" width="14.5" bestFit="1" customWidth="1"/>
    <col min="6928" max="6928" width="7" customWidth="1"/>
    <col min="6929" max="6929" width="14.33203125" customWidth="1"/>
    <col min="6930" max="6930" width="7" customWidth="1"/>
    <col min="6931" max="6931" width="16.6640625" bestFit="1" customWidth="1"/>
    <col min="6932" max="6932" width="6.5" customWidth="1"/>
    <col min="6933" max="6933" width="15.83203125" customWidth="1"/>
    <col min="6934" max="6934" width="7" customWidth="1"/>
    <col min="6935" max="6935" width="14.33203125" customWidth="1"/>
    <col min="6936" max="6936" width="7.5" customWidth="1"/>
    <col min="6937" max="6937" width="17.1640625" customWidth="1"/>
    <col min="6938" max="6938" width="7.33203125" customWidth="1"/>
    <col min="6939" max="6939" width="16.5" bestFit="1" customWidth="1"/>
    <col min="7169" max="7169" width="3" customWidth="1"/>
    <col min="7170" max="7170" width="46.6640625" customWidth="1"/>
    <col min="7171" max="7171" width="14.83203125" bestFit="1" customWidth="1"/>
    <col min="7172" max="7172" width="6.5" customWidth="1"/>
    <col min="7173" max="7173" width="16.83203125" customWidth="1"/>
    <col min="7174" max="7174" width="6.83203125" customWidth="1"/>
    <col min="7175" max="7175" width="14.5" customWidth="1"/>
    <col min="7176" max="7176" width="7.6640625" customWidth="1"/>
    <col min="7177" max="7177" width="14.83203125" customWidth="1"/>
    <col min="7178" max="7178" width="6.6640625" customWidth="1"/>
    <col min="7179" max="7179" width="14.83203125" bestFit="1" customWidth="1"/>
    <col min="7180" max="7180" width="8" customWidth="1"/>
    <col min="7181" max="7181" width="14.83203125" bestFit="1" customWidth="1"/>
    <col min="7182" max="7182" width="7.6640625" customWidth="1"/>
    <col min="7183" max="7183" width="14.5" bestFit="1" customWidth="1"/>
    <col min="7184" max="7184" width="7" customWidth="1"/>
    <col min="7185" max="7185" width="14.33203125" customWidth="1"/>
    <col min="7186" max="7186" width="7" customWidth="1"/>
    <col min="7187" max="7187" width="16.6640625" bestFit="1" customWidth="1"/>
    <col min="7188" max="7188" width="6.5" customWidth="1"/>
    <col min="7189" max="7189" width="15.83203125" customWidth="1"/>
    <col min="7190" max="7190" width="7" customWidth="1"/>
    <col min="7191" max="7191" width="14.33203125" customWidth="1"/>
    <col min="7192" max="7192" width="7.5" customWidth="1"/>
    <col min="7193" max="7193" width="17.1640625" customWidth="1"/>
    <col min="7194" max="7194" width="7.33203125" customWidth="1"/>
    <col min="7195" max="7195" width="16.5" bestFit="1" customWidth="1"/>
    <col min="7425" max="7425" width="3" customWidth="1"/>
    <col min="7426" max="7426" width="46.6640625" customWidth="1"/>
    <col min="7427" max="7427" width="14.83203125" bestFit="1" customWidth="1"/>
    <col min="7428" max="7428" width="6.5" customWidth="1"/>
    <col min="7429" max="7429" width="16.83203125" customWidth="1"/>
    <col min="7430" max="7430" width="6.83203125" customWidth="1"/>
    <col min="7431" max="7431" width="14.5" customWidth="1"/>
    <col min="7432" max="7432" width="7.6640625" customWidth="1"/>
    <col min="7433" max="7433" width="14.83203125" customWidth="1"/>
    <col min="7434" max="7434" width="6.6640625" customWidth="1"/>
    <col min="7435" max="7435" width="14.83203125" bestFit="1" customWidth="1"/>
    <col min="7436" max="7436" width="8" customWidth="1"/>
    <col min="7437" max="7437" width="14.83203125" bestFit="1" customWidth="1"/>
    <col min="7438" max="7438" width="7.6640625" customWidth="1"/>
    <col min="7439" max="7439" width="14.5" bestFit="1" customWidth="1"/>
    <col min="7440" max="7440" width="7" customWidth="1"/>
    <col min="7441" max="7441" width="14.33203125" customWidth="1"/>
    <col min="7442" max="7442" width="7" customWidth="1"/>
    <col min="7443" max="7443" width="16.6640625" bestFit="1" customWidth="1"/>
    <col min="7444" max="7444" width="6.5" customWidth="1"/>
    <col min="7445" max="7445" width="15.83203125" customWidth="1"/>
    <col min="7446" max="7446" width="7" customWidth="1"/>
    <col min="7447" max="7447" width="14.33203125" customWidth="1"/>
    <col min="7448" max="7448" width="7.5" customWidth="1"/>
    <col min="7449" max="7449" width="17.1640625" customWidth="1"/>
    <col min="7450" max="7450" width="7.33203125" customWidth="1"/>
    <col min="7451" max="7451" width="16.5" bestFit="1" customWidth="1"/>
    <col min="7681" max="7681" width="3" customWidth="1"/>
    <col min="7682" max="7682" width="46.6640625" customWidth="1"/>
    <col min="7683" max="7683" width="14.83203125" bestFit="1" customWidth="1"/>
    <col min="7684" max="7684" width="6.5" customWidth="1"/>
    <col min="7685" max="7685" width="16.83203125" customWidth="1"/>
    <col min="7686" max="7686" width="6.83203125" customWidth="1"/>
    <col min="7687" max="7687" width="14.5" customWidth="1"/>
    <col min="7688" max="7688" width="7.6640625" customWidth="1"/>
    <col min="7689" max="7689" width="14.83203125" customWidth="1"/>
    <col min="7690" max="7690" width="6.6640625" customWidth="1"/>
    <col min="7691" max="7691" width="14.83203125" bestFit="1" customWidth="1"/>
    <col min="7692" max="7692" width="8" customWidth="1"/>
    <col min="7693" max="7693" width="14.83203125" bestFit="1" customWidth="1"/>
    <col min="7694" max="7694" width="7.6640625" customWidth="1"/>
    <col min="7695" max="7695" width="14.5" bestFit="1" customWidth="1"/>
    <col min="7696" max="7696" width="7" customWidth="1"/>
    <col min="7697" max="7697" width="14.33203125" customWidth="1"/>
    <col min="7698" max="7698" width="7" customWidth="1"/>
    <col min="7699" max="7699" width="16.6640625" bestFit="1" customWidth="1"/>
    <col min="7700" max="7700" width="6.5" customWidth="1"/>
    <col min="7701" max="7701" width="15.83203125" customWidth="1"/>
    <col min="7702" max="7702" width="7" customWidth="1"/>
    <col min="7703" max="7703" width="14.33203125" customWidth="1"/>
    <col min="7704" max="7704" width="7.5" customWidth="1"/>
    <col min="7705" max="7705" width="17.1640625" customWidth="1"/>
    <col min="7706" max="7706" width="7.33203125" customWidth="1"/>
    <col min="7707" max="7707" width="16.5" bestFit="1" customWidth="1"/>
    <col min="7937" max="7937" width="3" customWidth="1"/>
    <col min="7938" max="7938" width="46.6640625" customWidth="1"/>
    <col min="7939" max="7939" width="14.83203125" bestFit="1" customWidth="1"/>
    <col min="7940" max="7940" width="6.5" customWidth="1"/>
    <col min="7941" max="7941" width="16.83203125" customWidth="1"/>
    <col min="7942" max="7942" width="6.83203125" customWidth="1"/>
    <col min="7943" max="7943" width="14.5" customWidth="1"/>
    <col min="7944" max="7944" width="7.6640625" customWidth="1"/>
    <col min="7945" max="7945" width="14.83203125" customWidth="1"/>
    <col min="7946" max="7946" width="6.6640625" customWidth="1"/>
    <col min="7947" max="7947" width="14.83203125" bestFit="1" customWidth="1"/>
    <col min="7948" max="7948" width="8" customWidth="1"/>
    <col min="7949" max="7949" width="14.83203125" bestFit="1" customWidth="1"/>
    <col min="7950" max="7950" width="7.6640625" customWidth="1"/>
    <col min="7951" max="7951" width="14.5" bestFit="1" customWidth="1"/>
    <col min="7952" max="7952" width="7" customWidth="1"/>
    <col min="7953" max="7953" width="14.33203125" customWidth="1"/>
    <col min="7954" max="7954" width="7" customWidth="1"/>
    <col min="7955" max="7955" width="16.6640625" bestFit="1" customWidth="1"/>
    <col min="7956" max="7956" width="6.5" customWidth="1"/>
    <col min="7957" max="7957" width="15.83203125" customWidth="1"/>
    <col min="7958" max="7958" width="7" customWidth="1"/>
    <col min="7959" max="7959" width="14.33203125" customWidth="1"/>
    <col min="7960" max="7960" width="7.5" customWidth="1"/>
    <col min="7961" max="7961" width="17.1640625" customWidth="1"/>
    <col min="7962" max="7962" width="7.33203125" customWidth="1"/>
    <col min="7963" max="7963" width="16.5" bestFit="1" customWidth="1"/>
    <col min="8193" max="8193" width="3" customWidth="1"/>
    <col min="8194" max="8194" width="46.6640625" customWidth="1"/>
    <col min="8195" max="8195" width="14.83203125" bestFit="1" customWidth="1"/>
    <col min="8196" max="8196" width="6.5" customWidth="1"/>
    <col min="8197" max="8197" width="16.83203125" customWidth="1"/>
    <col min="8198" max="8198" width="6.83203125" customWidth="1"/>
    <col min="8199" max="8199" width="14.5" customWidth="1"/>
    <col min="8200" max="8200" width="7.6640625" customWidth="1"/>
    <col min="8201" max="8201" width="14.83203125" customWidth="1"/>
    <col min="8202" max="8202" width="6.6640625" customWidth="1"/>
    <col min="8203" max="8203" width="14.83203125" bestFit="1" customWidth="1"/>
    <col min="8204" max="8204" width="8" customWidth="1"/>
    <col min="8205" max="8205" width="14.83203125" bestFit="1" customWidth="1"/>
    <col min="8206" max="8206" width="7.6640625" customWidth="1"/>
    <col min="8207" max="8207" width="14.5" bestFit="1" customWidth="1"/>
    <col min="8208" max="8208" width="7" customWidth="1"/>
    <col min="8209" max="8209" width="14.33203125" customWidth="1"/>
    <col min="8210" max="8210" width="7" customWidth="1"/>
    <col min="8211" max="8211" width="16.6640625" bestFit="1" customWidth="1"/>
    <col min="8212" max="8212" width="6.5" customWidth="1"/>
    <col min="8213" max="8213" width="15.83203125" customWidth="1"/>
    <col min="8214" max="8214" width="7" customWidth="1"/>
    <col min="8215" max="8215" width="14.33203125" customWidth="1"/>
    <col min="8216" max="8216" width="7.5" customWidth="1"/>
    <col min="8217" max="8217" width="17.1640625" customWidth="1"/>
    <col min="8218" max="8218" width="7.33203125" customWidth="1"/>
    <col min="8219" max="8219" width="16.5" bestFit="1" customWidth="1"/>
    <col min="8449" max="8449" width="3" customWidth="1"/>
    <col min="8450" max="8450" width="46.6640625" customWidth="1"/>
    <col min="8451" max="8451" width="14.83203125" bestFit="1" customWidth="1"/>
    <col min="8452" max="8452" width="6.5" customWidth="1"/>
    <col min="8453" max="8453" width="16.83203125" customWidth="1"/>
    <col min="8454" max="8454" width="6.83203125" customWidth="1"/>
    <col min="8455" max="8455" width="14.5" customWidth="1"/>
    <col min="8456" max="8456" width="7.6640625" customWidth="1"/>
    <col min="8457" max="8457" width="14.83203125" customWidth="1"/>
    <col min="8458" max="8458" width="6.6640625" customWidth="1"/>
    <col min="8459" max="8459" width="14.83203125" bestFit="1" customWidth="1"/>
    <col min="8460" max="8460" width="8" customWidth="1"/>
    <col min="8461" max="8461" width="14.83203125" bestFit="1" customWidth="1"/>
    <col min="8462" max="8462" width="7.6640625" customWidth="1"/>
    <col min="8463" max="8463" width="14.5" bestFit="1" customWidth="1"/>
    <col min="8464" max="8464" width="7" customWidth="1"/>
    <col min="8465" max="8465" width="14.33203125" customWidth="1"/>
    <col min="8466" max="8466" width="7" customWidth="1"/>
    <col min="8467" max="8467" width="16.6640625" bestFit="1" customWidth="1"/>
    <col min="8468" max="8468" width="6.5" customWidth="1"/>
    <col min="8469" max="8469" width="15.83203125" customWidth="1"/>
    <col min="8470" max="8470" width="7" customWidth="1"/>
    <col min="8471" max="8471" width="14.33203125" customWidth="1"/>
    <col min="8472" max="8472" width="7.5" customWidth="1"/>
    <col min="8473" max="8473" width="17.1640625" customWidth="1"/>
    <col min="8474" max="8474" width="7.33203125" customWidth="1"/>
    <col min="8475" max="8475" width="16.5" bestFit="1" customWidth="1"/>
    <col min="8705" max="8705" width="3" customWidth="1"/>
    <col min="8706" max="8706" width="46.6640625" customWidth="1"/>
    <col min="8707" max="8707" width="14.83203125" bestFit="1" customWidth="1"/>
    <col min="8708" max="8708" width="6.5" customWidth="1"/>
    <col min="8709" max="8709" width="16.83203125" customWidth="1"/>
    <col min="8710" max="8710" width="6.83203125" customWidth="1"/>
    <col min="8711" max="8711" width="14.5" customWidth="1"/>
    <col min="8712" max="8712" width="7.6640625" customWidth="1"/>
    <col min="8713" max="8713" width="14.83203125" customWidth="1"/>
    <col min="8714" max="8714" width="6.6640625" customWidth="1"/>
    <col min="8715" max="8715" width="14.83203125" bestFit="1" customWidth="1"/>
    <col min="8716" max="8716" width="8" customWidth="1"/>
    <col min="8717" max="8717" width="14.83203125" bestFit="1" customWidth="1"/>
    <col min="8718" max="8718" width="7.6640625" customWidth="1"/>
    <col min="8719" max="8719" width="14.5" bestFit="1" customWidth="1"/>
    <col min="8720" max="8720" width="7" customWidth="1"/>
    <col min="8721" max="8721" width="14.33203125" customWidth="1"/>
    <col min="8722" max="8722" width="7" customWidth="1"/>
    <col min="8723" max="8723" width="16.6640625" bestFit="1" customWidth="1"/>
    <col min="8724" max="8724" width="6.5" customWidth="1"/>
    <col min="8725" max="8725" width="15.83203125" customWidth="1"/>
    <col min="8726" max="8726" width="7" customWidth="1"/>
    <col min="8727" max="8727" width="14.33203125" customWidth="1"/>
    <col min="8728" max="8728" width="7.5" customWidth="1"/>
    <col min="8729" max="8729" width="17.1640625" customWidth="1"/>
    <col min="8730" max="8730" width="7.33203125" customWidth="1"/>
    <col min="8731" max="8731" width="16.5" bestFit="1" customWidth="1"/>
    <col min="8961" max="8961" width="3" customWidth="1"/>
    <col min="8962" max="8962" width="46.6640625" customWidth="1"/>
    <col min="8963" max="8963" width="14.83203125" bestFit="1" customWidth="1"/>
    <col min="8964" max="8964" width="6.5" customWidth="1"/>
    <col min="8965" max="8965" width="16.83203125" customWidth="1"/>
    <col min="8966" max="8966" width="6.83203125" customWidth="1"/>
    <col min="8967" max="8967" width="14.5" customWidth="1"/>
    <col min="8968" max="8968" width="7.6640625" customWidth="1"/>
    <col min="8969" max="8969" width="14.83203125" customWidth="1"/>
    <col min="8970" max="8970" width="6.6640625" customWidth="1"/>
    <col min="8971" max="8971" width="14.83203125" bestFit="1" customWidth="1"/>
    <col min="8972" max="8972" width="8" customWidth="1"/>
    <col min="8973" max="8973" width="14.83203125" bestFit="1" customWidth="1"/>
    <col min="8974" max="8974" width="7.6640625" customWidth="1"/>
    <col min="8975" max="8975" width="14.5" bestFit="1" customWidth="1"/>
    <col min="8976" max="8976" width="7" customWidth="1"/>
    <col min="8977" max="8977" width="14.33203125" customWidth="1"/>
    <col min="8978" max="8978" width="7" customWidth="1"/>
    <col min="8979" max="8979" width="16.6640625" bestFit="1" customWidth="1"/>
    <col min="8980" max="8980" width="6.5" customWidth="1"/>
    <col min="8981" max="8981" width="15.83203125" customWidth="1"/>
    <col min="8982" max="8982" width="7" customWidth="1"/>
    <col min="8983" max="8983" width="14.33203125" customWidth="1"/>
    <col min="8984" max="8984" width="7.5" customWidth="1"/>
    <col min="8985" max="8985" width="17.1640625" customWidth="1"/>
    <col min="8986" max="8986" width="7.33203125" customWidth="1"/>
    <col min="8987" max="8987" width="16.5" bestFit="1" customWidth="1"/>
    <col min="9217" max="9217" width="3" customWidth="1"/>
    <col min="9218" max="9218" width="46.6640625" customWidth="1"/>
    <col min="9219" max="9219" width="14.83203125" bestFit="1" customWidth="1"/>
    <col min="9220" max="9220" width="6.5" customWidth="1"/>
    <col min="9221" max="9221" width="16.83203125" customWidth="1"/>
    <col min="9222" max="9222" width="6.83203125" customWidth="1"/>
    <col min="9223" max="9223" width="14.5" customWidth="1"/>
    <col min="9224" max="9224" width="7.6640625" customWidth="1"/>
    <col min="9225" max="9225" width="14.83203125" customWidth="1"/>
    <col min="9226" max="9226" width="6.6640625" customWidth="1"/>
    <col min="9227" max="9227" width="14.83203125" bestFit="1" customWidth="1"/>
    <col min="9228" max="9228" width="8" customWidth="1"/>
    <col min="9229" max="9229" width="14.83203125" bestFit="1" customWidth="1"/>
    <col min="9230" max="9230" width="7.6640625" customWidth="1"/>
    <col min="9231" max="9231" width="14.5" bestFit="1" customWidth="1"/>
    <col min="9232" max="9232" width="7" customWidth="1"/>
    <col min="9233" max="9233" width="14.33203125" customWidth="1"/>
    <col min="9234" max="9234" width="7" customWidth="1"/>
    <col min="9235" max="9235" width="16.6640625" bestFit="1" customWidth="1"/>
    <col min="9236" max="9236" width="6.5" customWidth="1"/>
    <col min="9237" max="9237" width="15.83203125" customWidth="1"/>
    <col min="9238" max="9238" width="7" customWidth="1"/>
    <col min="9239" max="9239" width="14.33203125" customWidth="1"/>
    <col min="9240" max="9240" width="7.5" customWidth="1"/>
    <col min="9241" max="9241" width="17.1640625" customWidth="1"/>
    <col min="9242" max="9242" width="7.33203125" customWidth="1"/>
    <col min="9243" max="9243" width="16.5" bestFit="1" customWidth="1"/>
    <col min="9473" max="9473" width="3" customWidth="1"/>
    <col min="9474" max="9474" width="46.6640625" customWidth="1"/>
    <col min="9475" max="9475" width="14.83203125" bestFit="1" customWidth="1"/>
    <col min="9476" max="9476" width="6.5" customWidth="1"/>
    <col min="9477" max="9477" width="16.83203125" customWidth="1"/>
    <col min="9478" max="9478" width="6.83203125" customWidth="1"/>
    <col min="9479" max="9479" width="14.5" customWidth="1"/>
    <col min="9480" max="9480" width="7.6640625" customWidth="1"/>
    <col min="9481" max="9481" width="14.83203125" customWidth="1"/>
    <col min="9482" max="9482" width="6.6640625" customWidth="1"/>
    <col min="9483" max="9483" width="14.83203125" bestFit="1" customWidth="1"/>
    <col min="9484" max="9484" width="8" customWidth="1"/>
    <col min="9485" max="9485" width="14.83203125" bestFit="1" customWidth="1"/>
    <col min="9486" max="9486" width="7.6640625" customWidth="1"/>
    <col min="9487" max="9487" width="14.5" bestFit="1" customWidth="1"/>
    <col min="9488" max="9488" width="7" customWidth="1"/>
    <col min="9489" max="9489" width="14.33203125" customWidth="1"/>
    <col min="9490" max="9490" width="7" customWidth="1"/>
    <col min="9491" max="9491" width="16.6640625" bestFit="1" customWidth="1"/>
    <col min="9492" max="9492" width="6.5" customWidth="1"/>
    <col min="9493" max="9493" width="15.83203125" customWidth="1"/>
    <col min="9494" max="9494" width="7" customWidth="1"/>
    <col min="9495" max="9495" width="14.33203125" customWidth="1"/>
    <col min="9496" max="9496" width="7.5" customWidth="1"/>
    <col min="9497" max="9497" width="17.1640625" customWidth="1"/>
    <col min="9498" max="9498" width="7.33203125" customWidth="1"/>
    <col min="9499" max="9499" width="16.5" bestFit="1" customWidth="1"/>
    <col min="9729" max="9729" width="3" customWidth="1"/>
    <col min="9730" max="9730" width="46.6640625" customWidth="1"/>
    <col min="9731" max="9731" width="14.83203125" bestFit="1" customWidth="1"/>
    <col min="9732" max="9732" width="6.5" customWidth="1"/>
    <col min="9733" max="9733" width="16.83203125" customWidth="1"/>
    <col min="9734" max="9734" width="6.83203125" customWidth="1"/>
    <col min="9735" max="9735" width="14.5" customWidth="1"/>
    <col min="9736" max="9736" width="7.6640625" customWidth="1"/>
    <col min="9737" max="9737" width="14.83203125" customWidth="1"/>
    <col min="9738" max="9738" width="6.6640625" customWidth="1"/>
    <col min="9739" max="9739" width="14.83203125" bestFit="1" customWidth="1"/>
    <col min="9740" max="9740" width="8" customWidth="1"/>
    <col min="9741" max="9741" width="14.83203125" bestFit="1" customWidth="1"/>
    <col min="9742" max="9742" width="7.6640625" customWidth="1"/>
    <col min="9743" max="9743" width="14.5" bestFit="1" customWidth="1"/>
    <col min="9744" max="9744" width="7" customWidth="1"/>
    <col min="9745" max="9745" width="14.33203125" customWidth="1"/>
    <col min="9746" max="9746" width="7" customWidth="1"/>
    <col min="9747" max="9747" width="16.6640625" bestFit="1" customWidth="1"/>
    <col min="9748" max="9748" width="6.5" customWidth="1"/>
    <col min="9749" max="9749" width="15.83203125" customWidth="1"/>
    <col min="9750" max="9750" width="7" customWidth="1"/>
    <col min="9751" max="9751" width="14.33203125" customWidth="1"/>
    <col min="9752" max="9752" width="7.5" customWidth="1"/>
    <col min="9753" max="9753" width="17.1640625" customWidth="1"/>
    <col min="9754" max="9754" width="7.33203125" customWidth="1"/>
    <col min="9755" max="9755" width="16.5" bestFit="1" customWidth="1"/>
    <col min="9985" max="9985" width="3" customWidth="1"/>
    <col min="9986" max="9986" width="46.6640625" customWidth="1"/>
    <col min="9987" max="9987" width="14.83203125" bestFit="1" customWidth="1"/>
    <col min="9988" max="9988" width="6.5" customWidth="1"/>
    <col min="9989" max="9989" width="16.83203125" customWidth="1"/>
    <col min="9990" max="9990" width="6.83203125" customWidth="1"/>
    <col min="9991" max="9991" width="14.5" customWidth="1"/>
    <col min="9992" max="9992" width="7.6640625" customWidth="1"/>
    <col min="9993" max="9993" width="14.83203125" customWidth="1"/>
    <col min="9994" max="9994" width="6.6640625" customWidth="1"/>
    <col min="9995" max="9995" width="14.83203125" bestFit="1" customWidth="1"/>
    <col min="9996" max="9996" width="8" customWidth="1"/>
    <col min="9997" max="9997" width="14.83203125" bestFit="1" customWidth="1"/>
    <col min="9998" max="9998" width="7.6640625" customWidth="1"/>
    <col min="9999" max="9999" width="14.5" bestFit="1" customWidth="1"/>
    <col min="10000" max="10000" width="7" customWidth="1"/>
    <col min="10001" max="10001" width="14.33203125" customWidth="1"/>
    <col min="10002" max="10002" width="7" customWidth="1"/>
    <col min="10003" max="10003" width="16.6640625" bestFit="1" customWidth="1"/>
    <col min="10004" max="10004" width="6.5" customWidth="1"/>
    <col min="10005" max="10005" width="15.83203125" customWidth="1"/>
    <col min="10006" max="10006" width="7" customWidth="1"/>
    <col min="10007" max="10007" width="14.33203125" customWidth="1"/>
    <col min="10008" max="10008" width="7.5" customWidth="1"/>
    <col min="10009" max="10009" width="17.1640625" customWidth="1"/>
    <col min="10010" max="10010" width="7.33203125" customWidth="1"/>
    <col min="10011" max="10011" width="16.5" bestFit="1" customWidth="1"/>
    <col min="10241" max="10241" width="3" customWidth="1"/>
    <col min="10242" max="10242" width="46.6640625" customWidth="1"/>
    <col min="10243" max="10243" width="14.83203125" bestFit="1" customWidth="1"/>
    <col min="10244" max="10244" width="6.5" customWidth="1"/>
    <col min="10245" max="10245" width="16.83203125" customWidth="1"/>
    <col min="10246" max="10246" width="6.83203125" customWidth="1"/>
    <col min="10247" max="10247" width="14.5" customWidth="1"/>
    <col min="10248" max="10248" width="7.6640625" customWidth="1"/>
    <col min="10249" max="10249" width="14.83203125" customWidth="1"/>
    <col min="10250" max="10250" width="6.6640625" customWidth="1"/>
    <col min="10251" max="10251" width="14.83203125" bestFit="1" customWidth="1"/>
    <col min="10252" max="10252" width="8" customWidth="1"/>
    <col min="10253" max="10253" width="14.83203125" bestFit="1" customWidth="1"/>
    <col min="10254" max="10254" width="7.6640625" customWidth="1"/>
    <col min="10255" max="10255" width="14.5" bestFit="1" customWidth="1"/>
    <col min="10256" max="10256" width="7" customWidth="1"/>
    <col min="10257" max="10257" width="14.33203125" customWidth="1"/>
    <col min="10258" max="10258" width="7" customWidth="1"/>
    <col min="10259" max="10259" width="16.6640625" bestFit="1" customWidth="1"/>
    <col min="10260" max="10260" width="6.5" customWidth="1"/>
    <col min="10261" max="10261" width="15.83203125" customWidth="1"/>
    <col min="10262" max="10262" width="7" customWidth="1"/>
    <col min="10263" max="10263" width="14.33203125" customWidth="1"/>
    <col min="10264" max="10264" width="7.5" customWidth="1"/>
    <col min="10265" max="10265" width="17.1640625" customWidth="1"/>
    <col min="10266" max="10266" width="7.33203125" customWidth="1"/>
    <col min="10267" max="10267" width="16.5" bestFit="1" customWidth="1"/>
    <col min="10497" max="10497" width="3" customWidth="1"/>
    <col min="10498" max="10498" width="46.6640625" customWidth="1"/>
    <col min="10499" max="10499" width="14.83203125" bestFit="1" customWidth="1"/>
    <col min="10500" max="10500" width="6.5" customWidth="1"/>
    <col min="10501" max="10501" width="16.83203125" customWidth="1"/>
    <col min="10502" max="10502" width="6.83203125" customWidth="1"/>
    <col min="10503" max="10503" width="14.5" customWidth="1"/>
    <col min="10504" max="10504" width="7.6640625" customWidth="1"/>
    <col min="10505" max="10505" width="14.83203125" customWidth="1"/>
    <col min="10506" max="10506" width="6.6640625" customWidth="1"/>
    <col min="10507" max="10507" width="14.83203125" bestFit="1" customWidth="1"/>
    <col min="10508" max="10508" width="8" customWidth="1"/>
    <col min="10509" max="10509" width="14.83203125" bestFit="1" customWidth="1"/>
    <col min="10510" max="10510" width="7.6640625" customWidth="1"/>
    <col min="10511" max="10511" width="14.5" bestFit="1" customWidth="1"/>
    <col min="10512" max="10512" width="7" customWidth="1"/>
    <col min="10513" max="10513" width="14.33203125" customWidth="1"/>
    <col min="10514" max="10514" width="7" customWidth="1"/>
    <col min="10515" max="10515" width="16.6640625" bestFit="1" customWidth="1"/>
    <col min="10516" max="10516" width="6.5" customWidth="1"/>
    <col min="10517" max="10517" width="15.83203125" customWidth="1"/>
    <col min="10518" max="10518" width="7" customWidth="1"/>
    <col min="10519" max="10519" width="14.33203125" customWidth="1"/>
    <col min="10520" max="10520" width="7.5" customWidth="1"/>
    <col min="10521" max="10521" width="17.1640625" customWidth="1"/>
    <col min="10522" max="10522" width="7.33203125" customWidth="1"/>
    <col min="10523" max="10523" width="16.5" bestFit="1" customWidth="1"/>
    <col min="10753" max="10753" width="3" customWidth="1"/>
    <col min="10754" max="10754" width="46.6640625" customWidth="1"/>
    <col min="10755" max="10755" width="14.83203125" bestFit="1" customWidth="1"/>
    <col min="10756" max="10756" width="6.5" customWidth="1"/>
    <col min="10757" max="10757" width="16.83203125" customWidth="1"/>
    <col min="10758" max="10758" width="6.83203125" customWidth="1"/>
    <col min="10759" max="10759" width="14.5" customWidth="1"/>
    <col min="10760" max="10760" width="7.6640625" customWidth="1"/>
    <col min="10761" max="10761" width="14.83203125" customWidth="1"/>
    <col min="10762" max="10762" width="6.6640625" customWidth="1"/>
    <col min="10763" max="10763" width="14.83203125" bestFit="1" customWidth="1"/>
    <col min="10764" max="10764" width="8" customWidth="1"/>
    <col min="10765" max="10765" width="14.83203125" bestFit="1" customWidth="1"/>
    <col min="10766" max="10766" width="7.6640625" customWidth="1"/>
    <col min="10767" max="10767" width="14.5" bestFit="1" customWidth="1"/>
    <col min="10768" max="10768" width="7" customWidth="1"/>
    <col min="10769" max="10769" width="14.33203125" customWidth="1"/>
    <col min="10770" max="10770" width="7" customWidth="1"/>
    <col min="10771" max="10771" width="16.6640625" bestFit="1" customWidth="1"/>
    <col min="10772" max="10772" width="6.5" customWidth="1"/>
    <col min="10773" max="10773" width="15.83203125" customWidth="1"/>
    <col min="10774" max="10774" width="7" customWidth="1"/>
    <col min="10775" max="10775" width="14.33203125" customWidth="1"/>
    <col min="10776" max="10776" width="7.5" customWidth="1"/>
    <col min="10777" max="10777" width="17.1640625" customWidth="1"/>
    <col min="10778" max="10778" width="7.33203125" customWidth="1"/>
    <col min="10779" max="10779" width="16.5" bestFit="1" customWidth="1"/>
    <col min="11009" max="11009" width="3" customWidth="1"/>
    <col min="11010" max="11010" width="46.6640625" customWidth="1"/>
    <col min="11011" max="11011" width="14.83203125" bestFit="1" customWidth="1"/>
    <col min="11012" max="11012" width="6.5" customWidth="1"/>
    <col min="11013" max="11013" width="16.83203125" customWidth="1"/>
    <col min="11014" max="11014" width="6.83203125" customWidth="1"/>
    <col min="11015" max="11015" width="14.5" customWidth="1"/>
    <col min="11016" max="11016" width="7.6640625" customWidth="1"/>
    <col min="11017" max="11017" width="14.83203125" customWidth="1"/>
    <col min="11018" max="11018" width="6.6640625" customWidth="1"/>
    <col min="11019" max="11019" width="14.83203125" bestFit="1" customWidth="1"/>
    <col min="11020" max="11020" width="8" customWidth="1"/>
    <col min="11021" max="11021" width="14.83203125" bestFit="1" customWidth="1"/>
    <col min="11022" max="11022" width="7.6640625" customWidth="1"/>
    <col min="11023" max="11023" width="14.5" bestFit="1" customWidth="1"/>
    <col min="11024" max="11024" width="7" customWidth="1"/>
    <col min="11025" max="11025" width="14.33203125" customWidth="1"/>
    <col min="11026" max="11026" width="7" customWidth="1"/>
    <col min="11027" max="11027" width="16.6640625" bestFit="1" customWidth="1"/>
    <col min="11028" max="11028" width="6.5" customWidth="1"/>
    <col min="11029" max="11029" width="15.83203125" customWidth="1"/>
    <col min="11030" max="11030" width="7" customWidth="1"/>
    <col min="11031" max="11031" width="14.33203125" customWidth="1"/>
    <col min="11032" max="11032" width="7.5" customWidth="1"/>
    <col min="11033" max="11033" width="17.1640625" customWidth="1"/>
    <col min="11034" max="11034" width="7.33203125" customWidth="1"/>
    <col min="11035" max="11035" width="16.5" bestFit="1" customWidth="1"/>
    <col min="11265" max="11265" width="3" customWidth="1"/>
    <col min="11266" max="11266" width="46.6640625" customWidth="1"/>
    <col min="11267" max="11267" width="14.83203125" bestFit="1" customWidth="1"/>
    <col min="11268" max="11268" width="6.5" customWidth="1"/>
    <col min="11269" max="11269" width="16.83203125" customWidth="1"/>
    <col min="11270" max="11270" width="6.83203125" customWidth="1"/>
    <col min="11271" max="11271" width="14.5" customWidth="1"/>
    <col min="11272" max="11272" width="7.6640625" customWidth="1"/>
    <col min="11273" max="11273" width="14.83203125" customWidth="1"/>
    <col min="11274" max="11274" width="6.6640625" customWidth="1"/>
    <col min="11275" max="11275" width="14.83203125" bestFit="1" customWidth="1"/>
    <col min="11276" max="11276" width="8" customWidth="1"/>
    <col min="11277" max="11277" width="14.83203125" bestFit="1" customWidth="1"/>
    <col min="11278" max="11278" width="7.6640625" customWidth="1"/>
    <col min="11279" max="11279" width="14.5" bestFit="1" customWidth="1"/>
    <col min="11280" max="11280" width="7" customWidth="1"/>
    <col min="11281" max="11281" width="14.33203125" customWidth="1"/>
    <col min="11282" max="11282" width="7" customWidth="1"/>
    <col min="11283" max="11283" width="16.6640625" bestFit="1" customWidth="1"/>
    <col min="11284" max="11284" width="6.5" customWidth="1"/>
    <col min="11285" max="11285" width="15.83203125" customWidth="1"/>
    <col min="11286" max="11286" width="7" customWidth="1"/>
    <col min="11287" max="11287" width="14.33203125" customWidth="1"/>
    <col min="11288" max="11288" width="7.5" customWidth="1"/>
    <col min="11289" max="11289" width="17.1640625" customWidth="1"/>
    <col min="11290" max="11290" width="7.33203125" customWidth="1"/>
    <col min="11291" max="11291" width="16.5" bestFit="1" customWidth="1"/>
    <col min="11521" max="11521" width="3" customWidth="1"/>
    <col min="11522" max="11522" width="46.6640625" customWidth="1"/>
    <col min="11523" max="11523" width="14.83203125" bestFit="1" customWidth="1"/>
    <col min="11524" max="11524" width="6.5" customWidth="1"/>
    <col min="11525" max="11525" width="16.83203125" customWidth="1"/>
    <col min="11526" max="11526" width="6.83203125" customWidth="1"/>
    <col min="11527" max="11527" width="14.5" customWidth="1"/>
    <col min="11528" max="11528" width="7.6640625" customWidth="1"/>
    <col min="11529" max="11529" width="14.83203125" customWidth="1"/>
    <col min="11530" max="11530" width="6.6640625" customWidth="1"/>
    <col min="11531" max="11531" width="14.83203125" bestFit="1" customWidth="1"/>
    <col min="11532" max="11532" width="8" customWidth="1"/>
    <col min="11533" max="11533" width="14.83203125" bestFit="1" customWidth="1"/>
    <col min="11534" max="11534" width="7.6640625" customWidth="1"/>
    <col min="11535" max="11535" width="14.5" bestFit="1" customWidth="1"/>
    <col min="11536" max="11536" width="7" customWidth="1"/>
    <col min="11537" max="11537" width="14.33203125" customWidth="1"/>
    <col min="11538" max="11538" width="7" customWidth="1"/>
    <col min="11539" max="11539" width="16.6640625" bestFit="1" customWidth="1"/>
    <col min="11540" max="11540" width="6.5" customWidth="1"/>
    <col min="11541" max="11541" width="15.83203125" customWidth="1"/>
    <col min="11542" max="11542" width="7" customWidth="1"/>
    <col min="11543" max="11543" width="14.33203125" customWidth="1"/>
    <col min="11544" max="11544" width="7.5" customWidth="1"/>
    <col min="11545" max="11545" width="17.1640625" customWidth="1"/>
    <col min="11546" max="11546" width="7.33203125" customWidth="1"/>
    <col min="11547" max="11547" width="16.5" bestFit="1" customWidth="1"/>
    <col min="11777" max="11777" width="3" customWidth="1"/>
    <col min="11778" max="11778" width="46.6640625" customWidth="1"/>
    <col min="11779" max="11779" width="14.83203125" bestFit="1" customWidth="1"/>
    <col min="11780" max="11780" width="6.5" customWidth="1"/>
    <col min="11781" max="11781" width="16.83203125" customWidth="1"/>
    <col min="11782" max="11782" width="6.83203125" customWidth="1"/>
    <col min="11783" max="11783" width="14.5" customWidth="1"/>
    <col min="11784" max="11784" width="7.6640625" customWidth="1"/>
    <col min="11785" max="11785" width="14.83203125" customWidth="1"/>
    <col min="11786" max="11786" width="6.6640625" customWidth="1"/>
    <col min="11787" max="11787" width="14.83203125" bestFit="1" customWidth="1"/>
    <col min="11788" max="11788" width="8" customWidth="1"/>
    <col min="11789" max="11789" width="14.83203125" bestFit="1" customWidth="1"/>
    <col min="11790" max="11790" width="7.6640625" customWidth="1"/>
    <col min="11791" max="11791" width="14.5" bestFit="1" customWidth="1"/>
    <col min="11792" max="11792" width="7" customWidth="1"/>
    <col min="11793" max="11793" width="14.33203125" customWidth="1"/>
    <col min="11794" max="11794" width="7" customWidth="1"/>
    <col min="11795" max="11795" width="16.6640625" bestFit="1" customWidth="1"/>
    <col min="11796" max="11796" width="6.5" customWidth="1"/>
    <col min="11797" max="11797" width="15.83203125" customWidth="1"/>
    <col min="11798" max="11798" width="7" customWidth="1"/>
    <col min="11799" max="11799" width="14.33203125" customWidth="1"/>
    <col min="11800" max="11800" width="7.5" customWidth="1"/>
    <col min="11801" max="11801" width="17.1640625" customWidth="1"/>
    <col min="11802" max="11802" width="7.33203125" customWidth="1"/>
    <col min="11803" max="11803" width="16.5" bestFit="1" customWidth="1"/>
    <col min="12033" max="12033" width="3" customWidth="1"/>
    <col min="12034" max="12034" width="46.6640625" customWidth="1"/>
    <col min="12035" max="12035" width="14.83203125" bestFit="1" customWidth="1"/>
    <col min="12036" max="12036" width="6.5" customWidth="1"/>
    <col min="12037" max="12037" width="16.83203125" customWidth="1"/>
    <col min="12038" max="12038" width="6.83203125" customWidth="1"/>
    <col min="12039" max="12039" width="14.5" customWidth="1"/>
    <col min="12040" max="12040" width="7.6640625" customWidth="1"/>
    <col min="12041" max="12041" width="14.83203125" customWidth="1"/>
    <col min="12042" max="12042" width="6.6640625" customWidth="1"/>
    <col min="12043" max="12043" width="14.83203125" bestFit="1" customWidth="1"/>
    <col min="12044" max="12044" width="8" customWidth="1"/>
    <col min="12045" max="12045" width="14.83203125" bestFit="1" customWidth="1"/>
    <col min="12046" max="12046" width="7.6640625" customWidth="1"/>
    <col min="12047" max="12047" width="14.5" bestFit="1" customWidth="1"/>
    <col min="12048" max="12048" width="7" customWidth="1"/>
    <col min="12049" max="12049" width="14.33203125" customWidth="1"/>
    <col min="12050" max="12050" width="7" customWidth="1"/>
    <col min="12051" max="12051" width="16.6640625" bestFit="1" customWidth="1"/>
    <col min="12052" max="12052" width="6.5" customWidth="1"/>
    <col min="12053" max="12053" width="15.83203125" customWidth="1"/>
    <col min="12054" max="12054" width="7" customWidth="1"/>
    <col min="12055" max="12055" width="14.33203125" customWidth="1"/>
    <col min="12056" max="12056" width="7.5" customWidth="1"/>
    <col min="12057" max="12057" width="17.1640625" customWidth="1"/>
    <col min="12058" max="12058" width="7.33203125" customWidth="1"/>
    <col min="12059" max="12059" width="16.5" bestFit="1" customWidth="1"/>
    <col min="12289" max="12289" width="3" customWidth="1"/>
    <col min="12290" max="12290" width="46.6640625" customWidth="1"/>
    <col min="12291" max="12291" width="14.83203125" bestFit="1" customWidth="1"/>
    <col min="12292" max="12292" width="6.5" customWidth="1"/>
    <col min="12293" max="12293" width="16.83203125" customWidth="1"/>
    <col min="12294" max="12294" width="6.83203125" customWidth="1"/>
    <col min="12295" max="12295" width="14.5" customWidth="1"/>
    <col min="12296" max="12296" width="7.6640625" customWidth="1"/>
    <col min="12297" max="12297" width="14.83203125" customWidth="1"/>
    <col min="12298" max="12298" width="6.6640625" customWidth="1"/>
    <col min="12299" max="12299" width="14.83203125" bestFit="1" customWidth="1"/>
    <col min="12300" max="12300" width="8" customWidth="1"/>
    <col min="12301" max="12301" width="14.83203125" bestFit="1" customWidth="1"/>
    <col min="12302" max="12302" width="7.6640625" customWidth="1"/>
    <col min="12303" max="12303" width="14.5" bestFit="1" customWidth="1"/>
    <col min="12304" max="12304" width="7" customWidth="1"/>
    <col min="12305" max="12305" width="14.33203125" customWidth="1"/>
    <col min="12306" max="12306" width="7" customWidth="1"/>
    <col min="12307" max="12307" width="16.6640625" bestFit="1" customWidth="1"/>
    <col min="12308" max="12308" width="6.5" customWidth="1"/>
    <col min="12309" max="12309" width="15.83203125" customWidth="1"/>
    <col min="12310" max="12310" width="7" customWidth="1"/>
    <col min="12311" max="12311" width="14.33203125" customWidth="1"/>
    <col min="12312" max="12312" width="7.5" customWidth="1"/>
    <col min="12313" max="12313" width="17.1640625" customWidth="1"/>
    <col min="12314" max="12314" width="7.33203125" customWidth="1"/>
    <col min="12315" max="12315" width="16.5" bestFit="1" customWidth="1"/>
    <col min="12545" max="12545" width="3" customWidth="1"/>
    <col min="12546" max="12546" width="46.6640625" customWidth="1"/>
    <col min="12547" max="12547" width="14.83203125" bestFit="1" customWidth="1"/>
    <col min="12548" max="12548" width="6.5" customWidth="1"/>
    <col min="12549" max="12549" width="16.83203125" customWidth="1"/>
    <col min="12550" max="12550" width="6.83203125" customWidth="1"/>
    <col min="12551" max="12551" width="14.5" customWidth="1"/>
    <col min="12552" max="12552" width="7.6640625" customWidth="1"/>
    <col min="12553" max="12553" width="14.83203125" customWidth="1"/>
    <col min="12554" max="12554" width="6.6640625" customWidth="1"/>
    <col min="12555" max="12555" width="14.83203125" bestFit="1" customWidth="1"/>
    <col min="12556" max="12556" width="8" customWidth="1"/>
    <col min="12557" max="12557" width="14.83203125" bestFit="1" customWidth="1"/>
    <col min="12558" max="12558" width="7.6640625" customWidth="1"/>
    <col min="12559" max="12559" width="14.5" bestFit="1" customWidth="1"/>
    <col min="12560" max="12560" width="7" customWidth="1"/>
    <col min="12561" max="12561" width="14.33203125" customWidth="1"/>
    <col min="12562" max="12562" width="7" customWidth="1"/>
    <col min="12563" max="12563" width="16.6640625" bestFit="1" customWidth="1"/>
    <col min="12564" max="12564" width="6.5" customWidth="1"/>
    <col min="12565" max="12565" width="15.83203125" customWidth="1"/>
    <col min="12566" max="12566" width="7" customWidth="1"/>
    <col min="12567" max="12567" width="14.33203125" customWidth="1"/>
    <col min="12568" max="12568" width="7.5" customWidth="1"/>
    <col min="12569" max="12569" width="17.1640625" customWidth="1"/>
    <col min="12570" max="12570" width="7.33203125" customWidth="1"/>
    <col min="12571" max="12571" width="16.5" bestFit="1" customWidth="1"/>
    <col min="12801" max="12801" width="3" customWidth="1"/>
    <col min="12802" max="12802" width="46.6640625" customWidth="1"/>
    <col min="12803" max="12803" width="14.83203125" bestFit="1" customWidth="1"/>
    <col min="12804" max="12804" width="6.5" customWidth="1"/>
    <col min="12805" max="12805" width="16.83203125" customWidth="1"/>
    <col min="12806" max="12806" width="6.83203125" customWidth="1"/>
    <col min="12807" max="12807" width="14.5" customWidth="1"/>
    <col min="12808" max="12808" width="7.6640625" customWidth="1"/>
    <col min="12809" max="12809" width="14.83203125" customWidth="1"/>
    <col min="12810" max="12810" width="6.6640625" customWidth="1"/>
    <col min="12811" max="12811" width="14.83203125" bestFit="1" customWidth="1"/>
    <col min="12812" max="12812" width="8" customWidth="1"/>
    <col min="12813" max="12813" width="14.83203125" bestFit="1" customWidth="1"/>
    <col min="12814" max="12814" width="7.6640625" customWidth="1"/>
    <col min="12815" max="12815" width="14.5" bestFit="1" customWidth="1"/>
    <col min="12816" max="12816" width="7" customWidth="1"/>
    <col min="12817" max="12817" width="14.33203125" customWidth="1"/>
    <col min="12818" max="12818" width="7" customWidth="1"/>
    <col min="12819" max="12819" width="16.6640625" bestFit="1" customWidth="1"/>
    <col min="12820" max="12820" width="6.5" customWidth="1"/>
    <col min="12821" max="12821" width="15.83203125" customWidth="1"/>
    <col min="12822" max="12822" width="7" customWidth="1"/>
    <col min="12823" max="12823" width="14.33203125" customWidth="1"/>
    <col min="12824" max="12824" width="7.5" customWidth="1"/>
    <col min="12825" max="12825" width="17.1640625" customWidth="1"/>
    <col min="12826" max="12826" width="7.33203125" customWidth="1"/>
    <col min="12827" max="12827" width="16.5" bestFit="1" customWidth="1"/>
    <col min="13057" max="13057" width="3" customWidth="1"/>
    <col min="13058" max="13058" width="46.6640625" customWidth="1"/>
    <col min="13059" max="13059" width="14.83203125" bestFit="1" customWidth="1"/>
    <col min="13060" max="13060" width="6.5" customWidth="1"/>
    <col min="13061" max="13061" width="16.83203125" customWidth="1"/>
    <col min="13062" max="13062" width="6.83203125" customWidth="1"/>
    <col min="13063" max="13063" width="14.5" customWidth="1"/>
    <col min="13064" max="13064" width="7.6640625" customWidth="1"/>
    <col min="13065" max="13065" width="14.83203125" customWidth="1"/>
    <col min="13066" max="13066" width="6.6640625" customWidth="1"/>
    <col min="13067" max="13067" width="14.83203125" bestFit="1" customWidth="1"/>
    <col min="13068" max="13068" width="8" customWidth="1"/>
    <col min="13069" max="13069" width="14.83203125" bestFit="1" customWidth="1"/>
    <col min="13070" max="13070" width="7.6640625" customWidth="1"/>
    <col min="13071" max="13071" width="14.5" bestFit="1" customWidth="1"/>
    <col min="13072" max="13072" width="7" customWidth="1"/>
    <col min="13073" max="13073" width="14.33203125" customWidth="1"/>
    <col min="13074" max="13074" width="7" customWidth="1"/>
    <col min="13075" max="13075" width="16.6640625" bestFit="1" customWidth="1"/>
    <col min="13076" max="13076" width="6.5" customWidth="1"/>
    <col min="13077" max="13077" width="15.83203125" customWidth="1"/>
    <col min="13078" max="13078" width="7" customWidth="1"/>
    <col min="13079" max="13079" width="14.33203125" customWidth="1"/>
    <col min="13080" max="13080" width="7.5" customWidth="1"/>
    <col min="13081" max="13081" width="17.1640625" customWidth="1"/>
    <col min="13082" max="13082" width="7.33203125" customWidth="1"/>
    <col min="13083" max="13083" width="16.5" bestFit="1" customWidth="1"/>
    <col min="13313" max="13313" width="3" customWidth="1"/>
    <col min="13314" max="13314" width="46.6640625" customWidth="1"/>
    <col min="13315" max="13315" width="14.83203125" bestFit="1" customWidth="1"/>
    <col min="13316" max="13316" width="6.5" customWidth="1"/>
    <col min="13317" max="13317" width="16.83203125" customWidth="1"/>
    <col min="13318" max="13318" width="6.83203125" customWidth="1"/>
    <col min="13319" max="13319" width="14.5" customWidth="1"/>
    <col min="13320" max="13320" width="7.6640625" customWidth="1"/>
    <col min="13321" max="13321" width="14.83203125" customWidth="1"/>
    <col min="13322" max="13322" width="6.6640625" customWidth="1"/>
    <col min="13323" max="13323" width="14.83203125" bestFit="1" customWidth="1"/>
    <col min="13324" max="13324" width="8" customWidth="1"/>
    <col min="13325" max="13325" width="14.83203125" bestFit="1" customWidth="1"/>
    <col min="13326" max="13326" width="7.6640625" customWidth="1"/>
    <col min="13327" max="13327" width="14.5" bestFit="1" customWidth="1"/>
    <col min="13328" max="13328" width="7" customWidth="1"/>
    <col min="13329" max="13329" width="14.33203125" customWidth="1"/>
    <col min="13330" max="13330" width="7" customWidth="1"/>
    <col min="13331" max="13331" width="16.6640625" bestFit="1" customWidth="1"/>
    <col min="13332" max="13332" width="6.5" customWidth="1"/>
    <col min="13333" max="13333" width="15.83203125" customWidth="1"/>
    <col min="13334" max="13334" width="7" customWidth="1"/>
    <col min="13335" max="13335" width="14.33203125" customWidth="1"/>
    <col min="13336" max="13336" width="7.5" customWidth="1"/>
    <col min="13337" max="13337" width="17.1640625" customWidth="1"/>
    <col min="13338" max="13338" width="7.33203125" customWidth="1"/>
    <col min="13339" max="13339" width="16.5" bestFit="1" customWidth="1"/>
    <col min="13569" max="13569" width="3" customWidth="1"/>
    <col min="13570" max="13570" width="46.6640625" customWidth="1"/>
    <col min="13571" max="13571" width="14.83203125" bestFit="1" customWidth="1"/>
    <col min="13572" max="13572" width="6.5" customWidth="1"/>
    <col min="13573" max="13573" width="16.83203125" customWidth="1"/>
    <col min="13574" max="13574" width="6.83203125" customWidth="1"/>
    <col min="13575" max="13575" width="14.5" customWidth="1"/>
    <col min="13576" max="13576" width="7.6640625" customWidth="1"/>
    <col min="13577" max="13577" width="14.83203125" customWidth="1"/>
    <col min="13578" max="13578" width="6.6640625" customWidth="1"/>
    <col min="13579" max="13579" width="14.83203125" bestFit="1" customWidth="1"/>
    <col min="13580" max="13580" width="8" customWidth="1"/>
    <col min="13581" max="13581" width="14.83203125" bestFit="1" customWidth="1"/>
    <col min="13582" max="13582" width="7.6640625" customWidth="1"/>
    <col min="13583" max="13583" width="14.5" bestFit="1" customWidth="1"/>
    <col min="13584" max="13584" width="7" customWidth="1"/>
    <col min="13585" max="13585" width="14.33203125" customWidth="1"/>
    <col min="13586" max="13586" width="7" customWidth="1"/>
    <col min="13587" max="13587" width="16.6640625" bestFit="1" customWidth="1"/>
    <col min="13588" max="13588" width="6.5" customWidth="1"/>
    <col min="13589" max="13589" width="15.83203125" customWidth="1"/>
    <col min="13590" max="13590" width="7" customWidth="1"/>
    <col min="13591" max="13591" width="14.33203125" customWidth="1"/>
    <col min="13592" max="13592" width="7.5" customWidth="1"/>
    <col min="13593" max="13593" width="17.1640625" customWidth="1"/>
    <col min="13594" max="13594" width="7.33203125" customWidth="1"/>
    <col min="13595" max="13595" width="16.5" bestFit="1" customWidth="1"/>
    <col min="13825" max="13825" width="3" customWidth="1"/>
    <col min="13826" max="13826" width="46.6640625" customWidth="1"/>
    <col min="13827" max="13827" width="14.83203125" bestFit="1" customWidth="1"/>
    <col min="13828" max="13828" width="6.5" customWidth="1"/>
    <col min="13829" max="13829" width="16.83203125" customWidth="1"/>
    <col min="13830" max="13830" width="6.83203125" customWidth="1"/>
    <col min="13831" max="13831" width="14.5" customWidth="1"/>
    <col min="13832" max="13832" width="7.6640625" customWidth="1"/>
    <col min="13833" max="13833" width="14.83203125" customWidth="1"/>
    <col min="13834" max="13834" width="6.6640625" customWidth="1"/>
    <col min="13835" max="13835" width="14.83203125" bestFit="1" customWidth="1"/>
    <col min="13836" max="13836" width="8" customWidth="1"/>
    <col min="13837" max="13837" width="14.83203125" bestFit="1" customWidth="1"/>
    <col min="13838" max="13838" width="7.6640625" customWidth="1"/>
    <col min="13839" max="13839" width="14.5" bestFit="1" customWidth="1"/>
    <col min="13840" max="13840" width="7" customWidth="1"/>
    <col min="13841" max="13841" width="14.33203125" customWidth="1"/>
    <col min="13842" max="13842" width="7" customWidth="1"/>
    <col min="13843" max="13843" width="16.6640625" bestFit="1" customWidth="1"/>
    <col min="13844" max="13844" width="6.5" customWidth="1"/>
    <col min="13845" max="13845" width="15.83203125" customWidth="1"/>
    <col min="13846" max="13846" width="7" customWidth="1"/>
    <col min="13847" max="13847" width="14.33203125" customWidth="1"/>
    <col min="13848" max="13848" width="7.5" customWidth="1"/>
    <col min="13849" max="13849" width="17.1640625" customWidth="1"/>
    <col min="13850" max="13850" width="7.33203125" customWidth="1"/>
    <col min="13851" max="13851" width="16.5" bestFit="1" customWidth="1"/>
    <col min="14081" max="14081" width="3" customWidth="1"/>
    <col min="14082" max="14082" width="46.6640625" customWidth="1"/>
    <col min="14083" max="14083" width="14.83203125" bestFit="1" customWidth="1"/>
    <col min="14084" max="14084" width="6.5" customWidth="1"/>
    <col min="14085" max="14085" width="16.83203125" customWidth="1"/>
    <col min="14086" max="14086" width="6.83203125" customWidth="1"/>
    <col min="14087" max="14087" width="14.5" customWidth="1"/>
    <col min="14088" max="14088" width="7.6640625" customWidth="1"/>
    <col min="14089" max="14089" width="14.83203125" customWidth="1"/>
    <col min="14090" max="14090" width="6.6640625" customWidth="1"/>
    <col min="14091" max="14091" width="14.83203125" bestFit="1" customWidth="1"/>
    <col min="14092" max="14092" width="8" customWidth="1"/>
    <col min="14093" max="14093" width="14.83203125" bestFit="1" customWidth="1"/>
    <col min="14094" max="14094" width="7.6640625" customWidth="1"/>
    <col min="14095" max="14095" width="14.5" bestFit="1" customWidth="1"/>
    <col min="14096" max="14096" width="7" customWidth="1"/>
    <col min="14097" max="14097" width="14.33203125" customWidth="1"/>
    <col min="14098" max="14098" width="7" customWidth="1"/>
    <col min="14099" max="14099" width="16.6640625" bestFit="1" customWidth="1"/>
    <col min="14100" max="14100" width="6.5" customWidth="1"/>
    <col min="14101" max="14101" width="15.83203125" customWidth="1"/>
    <col min="14102" max="14102" width="7" customWidth="1"/>
    <col min="14103" max="14103" width="14.33203125" customWidth="1"/>
    <col min="14104" max="14104" width="7.5" customWidth="1"/>
    <col min="14105" max="14105" width="17.1640625" customWidth="1"/>
    <col min="14106" max="14106" width="7.33203125" customWidth="1"/>
    <col min="14107" max="14107" width="16.5" bestFit="1" customWidth="1"/>
    <col min="14337" max="14337" width="3" customWidth="1"/>
    <col min="14338" max="14338" width="46.6640625" customWidth="1"/>
    <col min="14339" max="14339" width="14.83203125" bestFit="1" customWidth="1"/>
    <col min="14340" max="14340" width="6.5" customWidth="1"/>
    <col min="14341" max="14341" width="16.83203125" customWidth="1"/>
    <col min="14342" max="14342" width="6.83203125" customWidth="1"/>
    <col min="14343" max="14343" width="14.5" customWidth="1"/>
    <col min="14344" max="14344" width="7.6640625" customWidth="1"/>
    <col min="14345" max="14345" width="14.83203125" customWidth="1"/>
    <col min="14346" max="14346" width="6.6640625" customWidth="1"/>
    <col min="14347" max="14347" width="14.83203125" bestFit="1" customWidth="1"/>
    <col min="14348" max="14348" width="8" customWidth="1"/>
    <col min="14349" max="14349" width="14.83203125" bestFit="1" customWidth="1"/>
    <col min="14350" max="14350" width="7.6640625" customWidth="1"/>
    <col min="14351" max="14351" width="14.5" bestFit="1" customWidth="1"/>
    <col min="14352" max="14352" width="7" customWidth="1"/>
    <col min="14353" max="14353" width="14.33203125" customWidth="1"/>
    <col min="14354" max="14354" width="7" customWidth="1"/>
    <col min="14355" max="14355" width="16.6640625" bestFit="1" customWidth="1"/>
    <col min="14356" max="14356" width="6.5" customWidth="1"/>
    <col min="14357" max="14357" width="15.83203125" customWidth="1"/>
    <col min="14358" max="14358" width="7" customWidth="1"/>
    <col min="14359" max="14359" width="14.33203125" customWidth="1"/>
    <col min="14360" max="14360" width="7.5" customWidth="1"/>
    <col min="14361" max="14361" width="17.1640625" customWidth="1"/>
    <col min="14362" max="14362" width="7.33203125" customWidth="1"/>
    <col min="14363" max="14363" width="16.5" bestFit="1" customWidth="1"/>
    <col min="14593" max="14593" width="3" customWidth="1"/>
    <col min="14594" max="14594" width="46.6640625" customWidth="1"/>
    <col min="14595" max="14595" width="14.83203125" bestFit="1" customWidth="1"/>
    <col min="14596" max="14596" width="6.5" customWidth="1"/>
    <col min="14597" max="14597" width="16.83203125" customWidth="1"/>
    <col min="14598" max="14598" width="6.83203125" customWidth="1"/>
    <col min="14599" max="14599" width="14.5" customWidth="1"/>
    <col min="14600" max="14600" width="7.6640625" customWidth="1"/>
    <col min="14601" max="14601" width="14.83203125" customWidth="1"/>
    <col min="14602" max="14602" width="6.6640625" customWidth="1"/>
    <col min="14603" max="14603" width="14.83203125" bestFit="1" customWidth="1"/>
    <col min="14604" max="14604" width="8" customWidth="1"/>
    <col min="14605" max="14605" width="14.83203125" bestFit="1" customWidth="1"/>
    <col min="14606" max="14606" width="7.6640625" customWidth="1"/>
    <col min="14607" max="14607" width="14.5" bestFit="1" customWidth="1"/>
    <col min="14608" max="14608" width="7" customWidth="1"/>
    <col min="14609" max="14609" width="14.33203125" customWidth="1"/>
    <col min="14610" max="14610" width="7" customWidth="1"/>
    <col min="14611" max="14611" width="16.6640625" bestFit="1" customWidth="1"/>
    <col min="14612" max="14612" width="6.5" customWidth="1"/>
    <col min="14613" max="14613" width="15.83203125" customWidth="1"/>
    <col min="14614" max="14614" width="7" customWidth="1"/>
    <col min="14615" max="14615" width="14.33203125" customWidth="1"/>
    <col min="14616" max="14616" width="7.5" customWidth="1"/>
    <col min="14617" max="14617" width="17.1640625" customWidth="1"/>
    <col min="14618" max="14618" width="7.33203125" customWidth="1"/>
    <col min="14619" max="14619" width="16.5" bestFit="1" customWidth="1"/>
    <col min="14849" max="14849" width="3" customWidth="1"/>
    <col min="14850" max="14850" width="46.6640625" customWidth="1"/>
    <col min="14851" max="14851" width="14.83203125" bestFit="1" customWidth="1"/>
    <col min="14852" max="14852" width="6.5" customWidth="1"/>
    <col min="14853" max="14853" width="16.83203125" customWidth="1"/>
    <col min="14854" max="14854" width="6.83203125" customWidth="1"/>
    <col min="14855" max="14855" width="14.5" customWidth="1"/>
    <col min="14856" max="14856" width="7.6640625" customWidth="1"/>
    <col min="14857" max="14857" width="14.83203125" customWidth="1"/>
    <col min="14858" max="14858" width="6.6640625" customWidth="1"/>
    <col min="14859" max="14859" width="14.83203125" bestFit="1" customWidth="1"/>
    <col min="14860" max="14860" width="8" customWidth="1"/>
    <col min="14861" max="14861" width="14.83203125" bestFit="1" customWidth="1"/>
    <col min="14862" max="14862" width="7.6640625" customWidth="1"/>
    <col min="14863" max="14863" width="14.5" bestFit="1" customWidth="1"/>
    <col min="14864" max="14864" width="7" customWidth="1"/>
    <col min="14865" max="14865" width="14.33203125" customWidth="1"/>
    <col min="14866" max="14866" width="7" customWidth="1"/>
    <col min="14867" max="14867" width="16.6640625" bestFit="1" customWidth="1"/>
    <col min="14868" max="14868" width="6.5" customWidth="1"/>
    <col min="14869" max="14869" width="15.83203125" customWidth="1"/>
    <col min="14870" max="14870" width="7" customWidth="1"/>
    <col min="14871" max="14871" width="14.33203125" customWidth="1"/>
    <col min="14872" max="14872" width="7.5" customWidth="1"/>
    <col min="14873" max="14873" width="17.1640625" customWidth="1"/>
    <col min="14874" max="14874" width="7.33203125" customWidth="1"/>
    <col min="14875" max="14875" width="16.5" bestFit="1" customWidth="1"/>
    <col min="15105" max="15105" width="3" customWidth="1"/>
    <col min="15106" max="15106" width="46.6640625" customWidth="1"/>
    <col min="15107" max="15107" width="14.83203125" bestFit="1" customWidth="1"/>
    <col min="15108" max="15108" width="6.5" customWidth="1"/>
    <col min="15109" max="15109" width="16.83203125" customWidth="1"/>
    <col min="15110" max="15110" width="6.83203125" customWidth="1"/>
    <col min="15111" max="15111" width="14.5" customWidth="1"/>
    <col min="15112" max="15112" width="7.6640625" customWidth="1"/>
    <col min="15113" max="15113" width="14.83203125" customWidth="1"/>
    <col min="15114" max="15114" width="6.6640625" customWidth="1"/>
    <col min="15115" max="15115" width="14.83203125" bestFit="1" customWidth="1"/>
    <col min="15116" max="15116" width="8" customWidth="1"/>
    <col min="15117" max="15117" width="14.83203125" bestFit="1" customWidth="1"/>
    <col min="15118" max="15118" width="7.6640625" customWidth="1"/>
    <col min="15119" max="15119" width="14.5" bestFit="1" customWidth="1"/>
    <col min="15120" max="15120" width="7" customWidth="1"/>
    <col min="15121" max="15121" width="14.33203125" customWidth="1"/>
    <col min="15122" max="15122" width="7" customWidth="1"/>
    <col min="15123" max="15123" width="16.6640625" bestFit="1" customWidth="1"/>
    <col min="15124" max="15124" width="6.5" customWidth="1"/>
    <col min="15125" max="15125" width="15.83203125" customWidth="1"/>
    <col min="15126" max="15126" width="7" customWidth="1"/>
    <col min="15127" max="15127" width="14.33203125" customWidth="1"/>
    <col min="15128" max="15128" width="7.5" customWidth="1"/>
    <col min="15129" max="15129" width="17.1640625" customWidth="1"/>
    <col min="15130" max="15130" width="7.33203125" customWidth="1"/>
    <col min="15131" max="15131" width="16.5" bestFit="1" customWidth="1"/>
    <col min="15361" max="15361" width="3" customWidth="1"/>
    <col min="15362" max="15362" width="46.6640625" customWidth="1"/>
    <col min="15363" max="15363" width="14.83203125" bestFit="1" customWidth="1"/>
    <col min="15364" max="15364" width="6.5" customWidth="1"/>
    <col min="15365" max="15365" width="16.83203125" customWidth="1"/>
    <col min="15366" max="15366" width="6.83203125" customWidth="1"/>
    <col min="15367" max="15367" width="14.5" customWidth="1"/>
    <col min="15368" max="15368" width="7.6640625" customWidth="1"/>
    <col min="15369" max="15369" width="14.83203125" customWidth="1"/>
    <col min="15370" max="15370" width="6.6640625" customWidth="1"/>
    <col min="15371" max="15371" width="14.83203125" bestFit="1" customWidth="1"/>
    <col min="15372" max="15372" width="8" customWidth="1"/>
    <col min="15373" max="15373" width="14.83203125" bestFit="1" customWidth="1"/>
    <col min="15374" max="15374" width="7.6640625" customWidth="1"/>
    <col min="15375" max="15375" width="14.5" bestFit="1" customWidth="1"/>
    <col min="15376" max="15376" width="7" customWidth="1"/>
    <col min="15377" max="15377" width="14.33203125" customWidth="1"/>
    <col min="15378" max="15378" width="7" customWidth="1"/>
    <col min="15379" max="15379" width="16.6640625" bestFit="1" customWidth="1"/>
    <col min="15380" max="15380" width="6.5" customWidth="1"/>
    <col min="15381" max="15381" width="15.83203125" customWidth="1"/>
    <col min="15382" max="15382" width="7" customWidth="1"/>
    <col min="15383" max="15383" width="14.33203125" customWidth="1"/>
    <col min="15384" max="15384" width="7.5" customWidth="1"/>
    <col min="15385" max="15385" width="17.1640625" customWidth="1"/>
    <col min="15386" max="15386" width="7.33203125" customWidth="1"/>
    <col min="15387" max="15387" width="16.5" bestFit="1" customWidth="1"/>
    <col min="15617" max="15617" width="3" customWidth="1"/>
    <col min="15618" max="15618" width="46.6640625" customWidth="1"/>
    <col min="15619" max="15619" width="14.83203125" bestFit="1" customWidth="1"/>
    <col min="15620" max="15620" width="6.5" customWidth="1"/>
    <col min="15621" max="15621" width="16.83203125" customWidth="1"/>
    <col min="15622" max="15622" width="6.83203125" customWidth="1"/>
    <col min="15623" max="15623" width="14.5" customWidth="1"/>
    <col min="15624" max="15624" width="7.6640625" customWidth="1"/>
    <col min="15625" max="15625" width="14.83203125" customWidth="1"/>
    <col min="15626" max="15626" width="6.6640625" customWidth="1"/>
    <col min="15627" max="15627" width="14.83203125" bestFit="1" customWidth="1"/>
    <col min="15628" max="15628" width="8" customWidth="1"/>
    <col min="15629" max="15629" width="14.83203125" bestFit="1" customWidth="1"/>
    <col min="15630" max="15630" width="7.6640625" customWidth="1"/>
    <col min="15631" max="15631" width="14.5" bestFit="1" customWidth="1"/>
    <col min="15632" max="15632" width="7" customWidth="1"/>
    <col min="15633" max="15633" width="14.33203125" customWidth="1"/>
    <col min="15634" max="15634" width="7" customWidth="1"/>
    <col min="15635" max="15635" width="16.6640625" bestFit="1" customWidth="1"/>
    <col min="15636" max="15636" width="6.5" customWidth="1"/>
    <col min="15637" max="15637" width="15.83203125" customWidth="1"/>
    <col min="15638" max="15638" width="7" customWidth="1"/>
    <col min="15639" max="15639" width="14.33203125" customWidth="1"/>
    <col min="15640" max="15640" width="7.5" customWidth="1"/>
    <col min="15641" max="15641" width="17.1640625" customWidth="1"/>
    <col min="15642" max="15642" width="7.33203125" customWidth="1"/>
    <col min="15643" max="15643" width="16.5" bestFit="1" customWidth="1"/>
    <col min="15873" max="15873" width="3" customWidth="1"/>
    <col min="15874" max="15874" width="46.6640625" customWidth="1"/>
    <col min="15875" max="15875" width="14.83203125" bestFit="1" customWidth="1"/>
    <col min="15876" max="15876" width="6.5" customWidth="1"/>
    <col min="15877" max="15877" width="16.83203125" customWidth="1"/>
    <col min="15878" max="15878" width="6.83203125" customWidth="1"/>
    <col min="15879" max="15879" width="14.5" customWidth="1"/>
    <col min="15880" max="15880" width="7.6640625" customWidth="1"/>
    <col min="15881" max="15881" width="14.83203125" customWidth="1"/>
    <col min="15882" max="15882" width="6.6640625" customWidth="1"/>
    <col min="15883" max="15883" width="14.83203125" bestFit="1" customWidth="1"/>
    <col min="15884" max="15884" width="8" customWidth="1"/>
    <col min="15885" max="15885" width="14.83203125" bestFit="1" customWidth="1"/>
    <col min="15886" max="15886" width="7.6640625" customWidth="1"/>
    <col min="15887" max="15887" width="14.5" bestFit="1" customWidth="1"/>
    <col min="15888" max="15888" width="7" customWidth="1"/>
    <col min="15889" max="15889" width="14.33203125" customWidth="1"/>
    <col min="15890" max="15890" width="7" customWidth="1"/>
    <col min="15891" max="15891" width="16.6640625" bestFit="1" customWidth="1"/>
    <col min="15892" max="15892" width="6.5" customWidth="1"/>
    <col min="15893" max="15893" width="15.83203125" customWidth="1"/>
    <col min="15894" max="15894" width="7" customWidth="1"/>
    <col min="15895" max="15895" width="14.33203125" customWidth="1"/>
    <col min="15896" max="15896" width="7.5" customWidth="1"/>
    <col min="15897" max="15897" width="17.1640625" customWidth="1"/>
    <col min="15898" max="15898" width="7.33203125" customWidth="1"/>
    <col min="15899" max="15899" width="16.5" bestFit="1" customWidth="1"/>
    <col min="16129" max="16129" width="3" customWidth="1"/>
    <col min="16130" max="16130" width="46.6640625" customWidth="1"/>
    <col min="16131" max="16131" width="14.83203125" bestFit="1" customWidth="1"/>
    <col min="16132" max="16132" width="6.5" customWidth="1"/>
    <col min="16133" max="16133" width="16.83203125" customWidth="1"/>
    <col min="16134" max="16134" width="6.83203125" customWidth="1"/>
    <col min="16135" max="16135" width="14.5" customWidth="1"/>
    <col min="16136" max="16136" width="7.6640625" customWidth="1"/>
    <col min="16137" max="16137" width="14.83203125" customWidth="1"/>
    <col min="16138" max="16138" width="6.6640625" customWidth="1"/>
    <col min="16139" max="16139" width="14.83203125" bestFit="1" customWidth="1"/>
    <col min="16140" max="16140" width="8" customWidth="1"/>
    <col min="16141" max="16141" width="14.83203125" bestFit="1" customWidth="1"/>
    <col min="16142" max="16142" width="7.6640625" customWidth="1"/>
    <col min="16143" max="16143" width="14.5" bestFit="1" customWidth="1"/>
    <col min="16144" max="16144" width="7" customWidth="1"/>
    <col min="16145" max="16145" width="14.33203125" customWidth="1"/>
    <col min="16146" max="16146" width="7" customWidth="1"/>
    <col min="16147" max="16147" width="16.6640625" bestFit="1" customWidth="1"/>
    <col min="16148" max="16148" width="6.5" customWidth="1"/>
    <col min="16149" max="16149" width="15.83203125" customWidth="1"/>
    <col min="16150" max="16150" width="7" customWidth="1"/>
    <col min="16151" max="16151" width="14.33203125" customWidth="1"/>
    <col min="16152" max="16152" width="7.5" customWidth="1"/>
    <col min="16153" max="16153" width="17.1640625" customWidth="1"/>
    <col min="16154" max="16154" width="7.33203125" customWidth="1"/>
    <col min="16155" max="16155" width="16.5" bestFit="1" customWidth="1"/>
  </cols>
  <sheetData>
    <row r="1" spans="2:27" ht="6.75" customHeight="1" x14ac:dyDescent="0.2"/>
    <row r="2" spans="2:27" ht="19" x14ac:dyDescent="0.2">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row>
    <row r="3" spans="2:27" x14ac:dyDescent="0.2">
      <c r="B3" s="240" t="s">
        <v>52</v>
      </c>
      <c r="C3" s="240"/>
      <c r="D3" s="240"/>
      <c r="E3" s="240"/>
      <c r="F3" s="240"/>
      <c r="G3" s="240"/>
      <c r="H3" s="240"/>
      <c r="I3" s="240"/>
      <c r="J3" s="240"/>
      <c r="K3" s="240"/>
      <c r="L3" s="240"/>
      <c r="M3" s="240"/>
      <c r="N3" s="240"/>
      <c r="O3" s="240"/>
      <c r="P3" s="240"/>
      <c r="Q3" s="240"/>
      <c r="R3" s="240"/>
      <c r="S3" s="240"/>
      <c r="T3" s="240"/>
      <c r="U3" s="240"/>
      <c r="V3" s="240"/>
      <c r="W3" s="240"/>
      <c r="X3" s="240"/>
      <c r="Y3" s="240"/>
      <c r="Z3" s="240"/>
      <c r="AA3" s="240"/>
    </row>
    <row r="4" spans="2:27" x14ac:dyDescent="0.2">
      <c r="B4" s="241" t="str">
        <f>'Acomp. Resultados_2026'!B5:AA5</f>
        <v>NOME DA EMPRESA</v>
      </c>
      <c r="C4" s="241"/>
      <c r="D4" s="241"/>
      <c r="E4" s="241"/>
      <c r="F4" s="241"/>
      <c r="G4" s="241"/>
      <c r="H4" s="241"/>
      <c r="I4" s="241"/>
      <c r="J4" s="241"/>
      <c r="K4" s="241"/>
      <c r="L4" s="241"/>
      <c r="M4" s="241"/>
      <c r="N4" s="241"/>
      <c r="O4" s="241"/>
      <c r="P4" s="241"/>
      <c r="Q4" s="241"/>
      <c r="R4" s="241"/>
      <c r="S4" s="241"/>
      <c r="T4" s="241"/>
      <c r="U4" s="241"/>
      <c r="V4" s="241"/>
      <c r="W4" s="241"/>
      <c r="X4" s="241"/>
      <c r="Y4" s="241"/>
      <c r="Z4" s="241"/>
      <c r="AA4" s="241"/>
    </row>
    <row r="5" spans="2:27" x14ac:dyDescent="0.2">
      <c r="B5" s="241" t="str">
        <f>'Acomp. Resultados_2026'!B6:AA6</f>
        <v>CNPJ DA EMPRESA:</v>
      </c>
      <c r="C5" s="241"/>
      <c r="D5" s="241"/>
      <c r="E5" s="241"/>
      <c r="F5" s="241"/>
      <c r="G5" s="241"/>
      <c r="H5" s="241"/>
      <c r="I5" s="241"/>
      <c r="J5" s="241"/>
      <c r="K5" s="241"/>
      <c r="L5" s="241"/>
      <c r="M5" s="241"/>
      <c r="N5" s="241"/>
      <c r="O5" s="241"/>
      <c r="P5" s="241"/>
      <c r="Q5" s="241"/>
      <c r="R5" s="241"/>
      <c r="S5" s="241"/>
      <c r="T5" s="241"/>
      <c r="U5" s="241"/>
      <c r="V5" s="241"/>
      <c r="W5" s="241"/>
      <c r="X5" s="241"/>
      <c r="Y5" s="241"/>
      <c r="Z5" s="241"/>
      <c r="AA5" s="241"/>
    </row>
    <row r="6" spans="2:27" x14ac:dyDescent="0.2">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row>
    <row r="7" spans="2:27" ht="16" thickBot="1" x14ac:dyDescent="0.25"/>
    <row r="8" spans="2:27" ht="16" thickBot="1" x14ac:dyDescent="0.25">
      <c r="B8" s="23" t="s">
        <v>40</v>
      </c>
      <c r="C8" s="224" t="s">
        <v>102</v>
      </c>
      <c r="D8" s="225"/>
      <c r="E8" s="224" t="s">
        <v>103</v>
      </c>
      <c r="F8" s="225"/>
      <c r="G8" s="224" t="s">
        <v>104</v>
      </c>
      <c r="H8" s="225"/>
      <c r="I8" s="224" t="s">
        <v>105</v>
      </c>
      <c r="J8" s="225"/>
      <c r="K8" s="224" t="s">
        <v>106</v>
      </c>
      <c r="L8" s="225"/>
      <c r="M8" s="224" t="s">
        <v>107</v>
      </c>
      <c r="N8" s="225"/>
      <c r="O8" s="224" t="s">
        <v>108</v>
      </c>
      <c r="P8" s="225"/>
      <c r="Q8" s="224" t="s">
        <v>109</v>
      </c>
      <c r="R8" s="225"/>
      <c r="S8" s="224" t="s">
        <v>110</v>
      </c>
      <c r="T8" s="225"/>
      <c r="U8" s="224" t="s">
        <v>111</v>
      </c>
      <c r="V8" s="225"/>
      <c r="W8" s="224" t="s">
        <v>112</v>
      </c>
      <c r="X8" s="225"/>
      <c r="Y8" s="224" t="s">
        <v>113</v>
      </c>
      <c r="Z8" s="225"/>
      <c r="AA8" s="24" t="s">
        <v>114</v>
      </c>
    </row>
    <row r="9" spans="2:27" ht="6" customHeight="1" thickBot="1" x14ac:dyDescent="0.25">
      <c r="B9" s="25"/>
      <c r="G9" s="4"/>
      <c r="H9" s="4"/>
      <c r="M9" s="4"/>
      <c r="N9" s="4"/>
      <c r="S9" s="4"/>
      <c r="T9" s="4"/>
      <c r="Y9" s="4"/>
      <c r="Z9" s="4"/>
      <c r="AA9" s="4"/>
    </row>
    <row r="10" spans="2:27" ht="16" thickTop="1" x14ac:dyDescent="0.2">
      <c r="B10" s="32" t="s">
        <v>41</v>
      </c>
      <c r="C10" s="37"/>
      <c r="D10" s="38"/>
      <c r="E10" s="37"/>
      <c r="F10" s="38"/>
      <c r="G10" s="37"/>
      <c r="H10" s="38"/>
      <c r="I10" s="37"/>
      <c r="J10" s="39"/>
      <c r="K10" s="37"/>
      <c r="L10" s="39"/>
      <c r="M10" s="37"/>
      <c r="N10" s="39"/>
      <c r="O10" s="37"/>
      <c r="P10" s="39"/>
      <c r="Q10" s="37"/>
      <c r="R10" s="39"/>
      <c r="S10" s="37"/>
      <c r="T10" s="39"/>
      <c r="U10" s="37"/>
      <c r="V10" s="39"/>
      <c r="W10" s="37"/>
      <c r="X10" s="39"/>
      <c r="Y10" s="37"/>
      <c r="Z10" s="38"/>
      <c r="AA10" s="40"/>
    </row>
    <row r="11" spans="2:27" x14ac:dyDescent="0.2">
      <c r="B11" s="33" t="s">
        <v>1</v>
      </c>
      <c r="C11" s="94">
        <f>'Acomp. Resultados_2026'!C95</f>
        <v>0</v>
      </c>
      <c r="D11" s="95"/>
      <c r="E11" s="94"/>
      <c r="F11" s="95"/>
      <c r="G11" s="94"/>
      <c r="H11" s="95"/>
      <c r="I11" s="94"/>
      <c r="J11" s="96"/>
      <c r="K11" s="94"/>
      <c r="L11" s="96"/>
      <c r="M11" s="94"/>
      <c r="N11" s="96"/>
      <c r="O11" s="94"/>
      <c r="P11" s="96"/>
      <c r="Q11" s="94"/>
      <c r="R11" s="96"/>
      <c r="S11" s="94"/>
      <c r="T11" s="96"/>
      <c r="U11" s="94"/>
      <c r="V11" s="96"/>
      <c r="W11" s="94"/>
      <c r="X11" s="96"/>
      <c r="Y11" s="94"/>
      <c r="Z11" s="95"/>
      <c r="AA11" s="97">
        <f>C11+E11+G11+I11+K11+M11+O11+Q11+S11+U11+W11+Y11</f>
        <v>0</v>
      </c>
    </row>
    <row r="12" spans="2:27" x14ac:dyDescent="0.2">
      <c r="B12" s="33" t="s">
        <v>2</v>
      </c>
      <c r="C12" s="94">
        <f>'Acomp. Resultados_2026'!C101</f>
        <v>0</v>
      </c>
      <c r="D12" s="95"/>
      <c r="E12" s="94"/>
      <c r="F12" s="95"/>
      <c r="G12" s="94"/>
      <c r="H12" s="95"/>
      <c r="I12" s="94"/>
      <c r="J12" s="96"/>
      <c r="K12" s="94"/>
      <c r="L12" s="96"/>
      <c r="M12" s="94"/>
      <c r="N12" s="96"/>
      <c r="O12" s="94"/>
      <c r="P12" s="96"/>
      <c r="Q12" s="94"/>
      <c r="R12" s="96"/>
      <c r="S12" s="94"/>
      <c r="T12" s="96"/>
      <c r="U12" s="94"/>
      <c r="V12" s="96"/>
      <c r="W12" s="94"/>
      <c r="X12" s="96"/>
      <c r="Y12" s="94"/>
      <c r="Z12" s="95"/>
      <c r="AA12" s="97">
        <f>C12+E12+G12+I12+K12+M12+O12+Q12+S12+U12+W12+Y12</f>
        <v>0</v>
      </c>
    </row>
    <row r="13" spans="2:27" x14ac:dyDescent="0.2">
      <c r="B13" s="26"/>
      <c r="C13" s="98"/>
      <c r="D13" s="99"/>
      <c r="E13" s="98"/>
      <c r="F13" s="99"/>
      <c r="G13" s="98"/>
      <c r="H13" s="99"/>
      <c r="I13" s="98"/>
      <c r="J13" s="100"/>
      <c r="K13" s="98"/>
      <c r="L13" s="100"/>
      <c r="M13" s="98"/>
      <c r="N13" s="100"/>
      <c r="O13" s="98"/>
      <c r="P13" s="100"/>
      <c r="Q13" s="98"/>
      <c r="R13" s="100"/>
      <c r="S13" s="98"/>
      <c r="T13" s="100"/>
      <c r="U13" s="98"/>
      <c r="V13" s="100"/>
      <c r="W13" s="98"/>
      <c r="X13" s="100"/>
      <c r="Y13" s="98"/>
      <c r="Z13" s="99"/>
      <c r="AA13" s="101"/>
    </row>
    <row r="14" spans="2:27" x14ac:dyDescent="0.2">
      <c r="B14" s="34" t="s">
        <v>42</v>
      </c>
      <c r="C14" s="102"/>
      <c r="D14" s="95"/>
      <c r="E14" s="102"/>
      <c r="F14" s="95"/>
      <c r="G14" s="102"/>
      <c r="H14" s="95"/>
      <c r="I14" s="102"/>
      <c r="J14" s="96"/>
      <c r="K14" s="102"/>
      <c r="L14" s="96"/>
      <c r="M14" s="102"/>
      <c r="N14" s="96"/>
      <c r="O14" s="102"/>
      <c r="P14" s="96"/>
      <c r="Q14" s="102"/>
      <c r="R14" s="96"/>
      <c r="S14" s="102"/>
      <c r="T14" s="96"/>
      <c r="U14" s="102"/>
      <c r="V14" s="96"/>
      <c r="W14" s="102"/>
      <c r="X14" s="96"/>
      <c r="Y14" s="102"/>
      <c r="Z14" s="95"/>
      <c r="AA14" s="97">
        <f>SUM(C14:Y14)</f>
        <v>0</v>
      </c>
    </row>
    <row r="15" spans="2:27" x14ac:dyDescent="0.2">
      <c r="B15" s="35" t="s">
        <v>1</v>
      </c>
      <c r="C15" s="94">
        <f>'Acomp. Resultados_2026'!C95</f>
        <v>0</v>
      </c>
      <c r="D15" s="103"/>
      <c r="E15" s="94"/>
      <c r="F15" s="103"/>
      <c r="G15" s="94"/>
      <c r="H15" s="103"/>
      <c r="I15" s="94"/>
      <c r="J15" s="104"/>
      <c r="K15" s="94"/>
      <c r="L15" s="104"/>
      <c r="M15" s="94"/>
      <c r="N15" s="104"/>
      <c r="O15" s="94"/>
      <c r="P15" s="104"/>
      <c r="Q15" s="94"/>
      <c r="R15" s="104"/>
      <c r="S15" s="94"/>
      <c r="T15" s="104"/>
      <c r="U15" s="94"/>
      <c r="V15" s="104"/>
      <c r="W15" s="94"/>
      <c r="X15" s="104"/>
      <c r="Y15" s="94"/>
      <c r="Z15" s="103"/>
      <c r="AA15" s="97">
        <f>C15+E15+G15+I15+K15+M15+O15+Q15+S15+U15+W15+Y15</f>
        <v>0</v>
      </c>
    </row>
    <row r="16" spans="2:27" x14ac:dyDescent="0.2">
      <c r="B16" s="35" t="s">
        <v>2</v>
      </c>
      <c r="C16" s="94">
        <f>'Acomp. Resultados_2026'!C101</f>
        <v>0</v>
      </c>
      <c r="D16" s="103"/>
      <c r="E16" s="94"/>
      <c r="F16" s="103"/>
      <c r="G16" s="94"/>
      <c r="H16" s="103"/>
      <c r="I16" s="94"/>
      <c r="J16" s="104"/>
      <c r="K16" s="94"/>
      <c r="L16" s="104"/>
      <c r="M16" s="94"/>
      <c r="N16" s="104"/>
      <c r="O16" s="94"/>
      <c r="P16" s="104"/>
      <c r="Q16" s="94"/>
      <c r="R16" s="104"/>
      <c r="S16" s="94"/>
      <c r="T16" s="104"/>
      <c r="U16" s="94"/>
      <c r="V16" s="104"/>
      <c r="W16" s="94"/>
      <c r="X16" s="104"/>
      <c r="Y16" s="94"/>
      <c r="Z16" s="103"/>
      <c r="AA16" s="97">
        <f>C16+E16+G16+I16+K16+M16+O16+Q16+S16+U16+W16+Y16</f>
        <v>0</v>
      </c>
    </row>
    <row r="17" spans="2:27" x14ac:dyDescent="0.2">
      <c r="B17" s="26"/>
      <c r="C17" s="98"/>
      <c r="D17" s="99"/>
      <c r="E17" s="98"/>
      <c r="F17" s="99"/>
      <c r="G17" s="98"/>
      <c r="H17" s="99"/>
      <c r="I17" s="98"/>
      <c r="J17" s="100"/>
      <c r="K17" s="98"/>
      <c r="L17" s="100"/>
      <c r="M17" s="98"/>
      <c r="N17" s="100"/>
      <c r="O17" s="98"/>
      <c r="P17" s="100"/>
      <c r="Q17" s="105"/>
      <c r="R17" s="100"/>
      <c r="S17" s="98"/>
      <c r="T17" s="100"/>
      <c r="U17" s="98"/>
      <c r="V17" s="100"/>
      <c r="W17" s="98"/>
      <c r="X17" s="100"/>
      <c r="Y17" s="98"/>
      <c r="Z17" s="99"/>
      <c r="AA17" s="101"/>
    </row>
    <row r="18" spans="2:27" x14ac:dyDescent="0.2">
      <c r="B18" s="26"/>
      <c r="C18" s="98"/>
      <c r="D18" s="99"/>
      <c r="E18" s="98"/>
      <c r="F18" s="99"/>
      <c r="G18" s="98"/>
      <c r="H18" s="99"/>
      <c r="I18" s="98"/>
      <c r="J18" s="100"/>
      <c r="K18" s="98"/>
      <c r="L18" s="100"/>
      <c r="M18" s="98"/>
      <c r="N18" s="100"/>
      <c r="O18" s="98"/>
      <c r="P18" s="100"/>
      <c r="Q18" s="98"/>
      <c r="R18" s="100"/>
      <c r="S18" s="98"/>
      <c r="T18" s="100"/>
      <c r="U18" s="98"/>
      <c r="V18" s="100"/>
      <c r="W18" s="98"/>
      <c r="X18" s="100"/>
      <c r="Y18" s="98"/>
      <c r="Z18" s="99"/>
      <c r="AA18" s="101"/>
    </row>
    <row r="19" spans="2:27" x14ac:dyDescent="0.2">
      <c r="B19" s="34" t="s">
        <v>116</v>
      </c>
      <c r="C19" s="106"/>
      <c r="D19" s="107"/>
      <c r="E19" s="106"/>
      <c r="F19" s="107"/>
      <c r="G19" s="106"/>
      <c r="H19" s="107"/>
      <c r="I19" s="106"/>
      <c r="J19" s="108"/>
      <c r="K19" s="106"/>
      <c r="L19" s="108"/>
      <c r="M19" s="106"/>
      <c r="N19" s="108"/>
      <c r="O19" s="106"/>
      <c r="P19" s="108"/>
      <c r="Q19" s="106"/>
      <c r="R19" s="108"/>
      <c r="S19" s="106"/>
      <c r="T19" s="108"/>
      <c r="U19" s="106"/>
      <c r="V19" s="108"/>
      <c r="W19" s="106"/>
      <c r="X19" s="108"/>
      <c r="Y19" s="106"/>
      <c r="Z19" s="107"/>
      <c r="AA19" s="109"/>
    </row>
    <row r="20" spans="2:27" x14ac:dyDescent="0.2">
      <c r="B20" s="35" t="s">
        <v>1</v>
      </c>
      <c r="C20" s="110">
        <v>0</v>
      </c>
      <c r="D20" s="103"/>
      <c r="E20" s="110"/>
      <c r="F20" s="103"/>
      <c r="G20" s="110"/>
      <c r="H20" s="103"/>
      <c r="I20" s="110"/>
      <c r="J20" s="104"/>
      <c r="K20" s="110"/>
      <c r="L20" s="104"/>
      <c r="M20" s="110"/>
      <c r="N20" s="104"/>
      <c r="O20" s="110"/>
      <c r="P20" s="104"/>
      <c r="Q20" s="110"/>
      <c r="R20" s="104"/>
      <c r="S20" s="110"/>
      <c r="T20" s="104"/>
      <c r="U20" s="110"/>
      <c r="V20" s="104"/>
      <c r="W20" s="110"/>
      <c r="X20" s="104"/>
      <c r="Y20" s="226"/>
      <c r="Z20" s="103"/>
      <c r="AA20" s="97">
        <f>C20+E20+G20+I20+K20+M20+O20+Q20+S20+U20+W20+Y20</f>
        <v>0</v>
      </c>
    </row>
    <row r="21" spans="2:27" x14ac:dyDescent="0.2">
      <c r="B21" s="35" t="s">
        <v>2</v>
      </c>
      <c r="C21" s="110">
        <v>0</v>
      </c>
      <c r="D21" s="103"/>
      <c r="E21" s="110"/>
      <c r="F21" s="103"/>
      <c r="G21" s="110"/>
      <c r="H21" s="103"/>
      <c r="I21" s="110"/>
      <c r="J21" s="104"/>
      <c r="K21" s="110"/>
      <c r="L21" s="104"/>
      <c r="M21" s="110"/>
      <c r="N21" s="104"/>
      <c r="O21" s="110"/>
      <c r="P21" s="104"/>
      <c r="Q21" s="110"/>
      <c r="R21" s="104"/>
      <c r="S21" s="110"/>
      <c r="T21" s="104"/>
      <c r="U21" s="110"/>
      <c r="V21" s="104"/>
      <c r="W21" s="110"/>
      <c r="X21" s="104"/>
      <c r="Y21" s="226"/>
      <c r="Z21" s="103"/>
      <c r="AA21" s="97">
        <f>C21+E21+G21+I21+K21+M21+O21+Q21+S21+U21+W21+Y21</f>
        <v>0</v>
      </c>
    </row>
    <row r="22" spans="2:27" x14ac:dyDescent="0.2">
      <c r="B22" s="27"/>
      <c r="C22" s="110"/>
      <c r="D22" s="103"/>
      <c r="E22" s="110"/>
      <c r="F22" s="103"/>
      <c r="G22" s="110"/>
      <c r="H22" s="103"/>
      <c r="I22" s="110"/>
      <c r="J22" s="104"/>
      <c r="K22" s="110"/>
      <c r="L22" s="104"/>
      <c r="M22" s="111"/>
      <c r="N22" s="104"/>
      <c r="O22" s="111"/>
      <c r="P22" s="104"/>
      <c r="Q22" s="111"/>
      <c r="R22" s="104"/>
      <c r="S22" s="111"/>
      <c r="T22" s="104"/>
      <c r="U22" s="111"/>
      <c r="V22" s="104"/>
      <c r="W22" s="111"/>
      <c r="X22" s="104"/>
      <c r="Y22" s="110"/>
      <c r="Z22" s="103"/>
      <c r="AA22" s="112"/>
    </row>
    <row r="23" spans="2:27" x14ac:dyDescent="0.2">
      <c r="B23" s="34" t="s">
        <v>43</v>
      </c>
      <c r="C23" s="106"/>
      <c r="D23" s="107"/>
      <c r="E23" s="106"/>
      <c r="F23" s="107"/>
      <c r="G23" s="106"/>
      <c r="H23" s="107"/>
      <c r="I23" s="106"/>
      <c r="J23" s="108"/>
      <c r="K23" s="106"/>
      <c r="L23" s="108"/>
      <c r="M23" s="106"/>
      <c r="N23" s="108"/>
      <c r="O23" s="106"/>
      <c r="P23" s="108"/>
      <c r="Q23" s="106"/>
      <c r="R23" s="108"/>
      <c r="S23" s="106"/>
      <c r="T23" s="108"/>
      <c r="U23" s="106"/>
      <c r="V23" s="108"/>
      <c r="W23" s="106"/>
      <c r="X23" s="108"/>
      <c r="Y23" s="106"/>
      <c r="Z23" s="107"/>
      <c r="AA23" s="109"/>
    </row>
    <row r="24" spans="2:27" x14ac:dyDescent="0.2">
      <c r="B24" s="35" t="s">
        <v>1</v>
      </c>
      <c r="C24" s="110">
        <v>0</v>
      </c>
      <c r="D24" s="103"/>
      <c r="E24" s="110"/>
      <c r="F24" s="103"/>
      <c r="G24" s="110"/>
      <c r="H24" s="103"/>
      <c r="I24" s="110"/>
      <c r="J24" s="104"/>
      <c r="K24" s="110"/>
      <c r="L24" s="104"/>
      <c r="M24" s="110"/>
      <c r="N24" s="104"/>
      <c r="O24" s="110"/>
      <c r="P24" s="104"/>
      <c r="Q24" s="110"/>
      <c r="R24" s="104"/>
      <c r="S24" s="110"/>
      <c r="T24" s="104"/>
      <c r="U24" s="110"/>
      <c r="V24" s="104"/>
      <c r="W24" s="110"/>
      <c r="X24" s="104"/>
      <c r="Y24" s="110"/>
      <c r="Z24" s="103"/>
      <c r="AA24" s="97">
        <f>C24+E24+G24+I24+K24+M24+O24+Q24+S24+U24+W24+Y24</f>
        <v>0</v>
      </c>
    </row>
    <row r="25" spans="2:27" ht="16" thickBot="1" x14ac:dyDescent="0.25">
      <c r="B25" s="36" t="s">
        <v>2</v>
      </c>
      <c r="C25" s="113">
        <v>0</v>
      </c>
      <c r="D25" s="114"/>
      <c r="E25" s="113"/>
      <c r="F25" s="115"/>
      <c r="G25" s="113"/>
      <c r="H25" s="115"/>
      <c r="I25" s="113"/>
      <c r="J25" s="114"/>
      <c r="K25" s="113"/>
      <c r="L25" s="114"/>
      <c r="M25" s="113"/>
      <c r="N25" s="114"/>
      <c r="O25" s="113"/>
      <c r="P25" s="114"/>
      <c r="Q25" s="113"/>
      <c r="R25" s="114"/>
      <c r="S25" s="113"/>
      <c r="T25" s="114"/>
      <c r="U25" s="113"/>
      <c r="V25" s="114"/>
      <c r="W25" s="113"/>
      <c r="X25" s="114"/>
      <c r="Y25" s="113"/>
      <c r="Z25" s="115"/>
      <c r="AA25" s="116">
        <f>C25+E25+G25+I25+K25+M25+O25+Q25+S25+U25+W25+Y25</f>
        <v>0</v>
      </c>
    </row>
    <row r="26" spans="2:27" ht="17" thickTop="1" thickBot="1" x14ac:dyDescent="0.25">
      <c r="B26" s="41"/>
      <c r="C26" s="42"/>
      <c r="D26" s="42"/>
      <c r="E26" s="42"/>
      <c r="F26" s="42"/>
      <c r="G26" s="42"/>
      <c r="H26" s="42"/>
      <c r="I26" s="42"/>
      <c r="J26" s="42"/>
      <c r="K26" s="42"/>
      <c r="L26" s="42"/>
      <c r="M26" s="42"/>
      <c r="N26" s="42"/>
      <c r="O26" s="42"/>
      <c r="P26" s="42"/>
      <c r="Q26" s="42"/>
      <c r="R26" s="42"/>
      <c r="S26" s="42"/>
      <c r="T26" s="42"/>
      <c r="U26" s="42"/>
      <c r="V26" s="42"/>
      <c r="W26" s="42"/>
      <c r="X26" s="42"/>
      <c r="Y26" s="42"/>
      <c r="Z26" s="42"/>
      <c r="AA26" s="43"/>
    </row>
    <row r="27" spans="2:27" ht="16" thickBot="1" x14ac:dyDescent="0.25">
      <c r="B27" s="44" t="s">
        <v>44</v>
      </c>
      <c r="C27" s="224" t="s">
        <v>102</v>
      </c>
      <c r="D27" s="225"/>
      <c r="E27" s="224" t="s">
        <v>103</v>
      </c>
      <c r="F27" s="225"/>
      <c r="G27" s="224" t="s">
        <v>104</v>
      </c>
      <c r="H27" s="225"/>
      <c r="I27" s="224" t="s">
        <v>105</v>
      </c>
      <c r="J27" s="225"/>
      <c r="K27" s="224" t="s">
        <v>106</v>
      </c>
      <c r="L27" s="225"/>
      <c r="M27" s="224" t="s">
        <v>107</v>
      </c>
      <c r="N27" s="225"/>
      <c r="O27" s="224" t="s">
        <v>108</v>
      </c>
      <c r="P27" s="225"/>
      <c r="Q27" s="224" t="s">
        <v>109</v>
      </c>
      <c r="R27" s="225"/>
      <c r="S27" s="224" t="s">
        <v>110</v>
      </c>
      <c r="T27" s="225"/>
      <c r="U27" s="224" t="s">
        <v>111</v>
      </c>
      <c r="V27" s="225"/>
      <c r="W27" s="224" t="s">
        <v>112</v>
      </c>
      <c r="X27" s="225"/>
      <c r="Y27" s="224" t="s">
        <v>113</v>
      </c>
      <c r="Z27" s="225"/>
      <c r="AA27" s="24" t="s">
        <v>114</v>
      </c>
    </row>
    <row r="28" spans="2:27" x14ac:dyDescent="0.2">
      <c r="B28" s="45" t="s">
        <v>45</v>
      </c>
      <c r="C28" s="117">
        <f>C11-C15</f>
        <v>0</v>
      </c>
      <c r="D28" s="118"/>
      <c r="E28" s="117">
        <f>E11-E15</f>
        <v>0</v>
      </c>
      <c r="F28" s="118"/>
      <c r="G28" s="117">
        <f>G11-G15</f>
        <v>0</v>
      </c>
      <c r="H28" s="118"/>
      <c r="I28" s="117">
        <f>I11-I15</f>
        <v>0</v>
      </c>
      <c r="J28" s="118"/>
      <c r="K28" s="117">
        <f>K11-K15</f>
        <v>0</v>
      </c>
      <c r="L28" s="118"/>
      <c r="M28" s="117">
        <f>M11-M15</f>
        <v>0</v>
      </c>
      <c r="N28" s="118"/>
      <c r="O28" s="117">
        <f>O11-O15</f>
        <v>0</v>
      </c>
      <c r="P28" s="118"/>
      <c r="Q28" s="117">
        <f>Q11-Q15</f>
        <v>0</v>
      </c>
      <c r="R28" s="118"/>
      <c r="S28" s="117">
        <f>S11-S15</f>
        <v>0</v>
      </c>
      <c r="T28" s="118"/>
      <c r="U28" s="117">
        <f>U11-U15</f>
        <v>0</v>
      </c>
      <c r="V28" s="118"/>
      <c r="W28" s="117">
        <f>W11-W15</f>
        <v>0</v>
      </c>
      <c r="X28" s="118"/>
      <c r="Y28" s="117">
        <f>Y11-Y15</f>
        <v>0</v>
      </c>
      <c r="Z28" s="118"/>
      <c r="AA28" s="119">
        <f>SUM(C28:Z28)</f>
        <v>0</v>
      </c>
    </row>
    <row r="29" spans="2:27" x14ac:dyDescent="0.2">
      <c r="B29" s="46" t="s">
        <v>46</v>
      </c>
      <c r="C29" s="120">
        <f>C12-C16</f>
        <v>0</v>
      </c>
      <c r="D29" s="104"/>
      <c r="E29" s="120">
        <f>E12-E16</f>
        <v>0</v>
      </c>
      <c r="F29" s="104"/>
      <c r="G29" s="120">
        <f>G12-G16</f>
        <v>0</v>
      </c>
      <c r="H29" s="104"/>
      <c r="I29" s="120">
        <f>I12-I16</f>
        <v>0</v>
      </c>
      <c r="J29" s="104"/>
      <c r="K29" s="120">
        <f>K12-K16</f>
        <v>0</v>
      </c>
      <c r="L29" s="104"/>
      <c r="M29" s="120">
        <f>M12-M16</f>
        <v>0</v>
      </c>
      <c r="N29" s="104"/>
      <c r="O29" s="120">
        <f>O12-O16</f>
        <v>0</v>
      </c>
      <c r="P29" s="104"/>
      <c r="Q29" s="120">
        <f>Q12-Q16</f>
        <v>0</v>
      </c>
      <c r="R29" s="104"/>
      <c r="S29" s="120">
        <f>S12-S16</f>
        <v>0</v>
      </c>
      <c r="T29" s="104"/>
      <c r="U29" s="120">
        <f>U12-U16</f>
        <v>0</v>
      </c>
      <c r="V29" s="104"/>
      <c r="W29" s="120">
        <f>W12-W16</f>
        <v>0</v>
      </c>
      <c r="X29" s="104"/>
      <c r="Y29" s="120">
        <f>Y12-Y16</f>
        <v>0</v>
      </c>
      <c r="Z29" s="104"/>
      <c r="AA29" s="121">
        <f>SUM(B29:Z29)</f>
        <v>0</v>
      </c>
    </row>
    <row r="30" spans="2:27" x14ac:dyDescent="0.2">
      <c r="B30" s="46" t="s">
        <v>47</v>
      </c>
      <c r="C30" s="126">
        <f>C15-C20</f>
        <v>0</v>
      </c>
      <c r="D30" s="104"/>
      <c r="E30" s="120">
        <f>E15-E20</f>
        <v>0</v>
      </c>
      <c r="F30" s="104"/>
      <c r="G30" s="120">
        <f>G15-G20</f>
        <v>0</v>
      </c>
      <c r="H30" s="104"/>
      <c r="I30" s="120">
        <f>I15-I20</f>
        <v>0</v>
      </c>
      <c r="J30" s="104"/>
      <c r="K30" s="120">
        <f>K15-K20</f>
        <v>0</v>
      </c>
      <c r="L30" s="104"/>
      <c r="M30" s="120">
        <f>M15-M20</f>
        <v>0</v>
      </c>
      <c r="N30" s="104"/>
      <c r="O30" s="120">
        <f>O15-O20</f>
        <v>0</v>
      </c>
      <c r="P30" s="104"/>
      <c r="Q30" s="120">
        <f>Q15-Q20</f>
        <v>0</v>
      </c>
      <c r="R30" s="104"/>
      <c r="S30" s="120">
        <f>S15-S20</f>
        <v>0</v>
      </c>
      <c r="T30" s="104"/>
      <c r="U30" s="120">
        <f>U15-U20</f>
        <v>0</v>
      </c>
      <c r="V30" s="104"/>
      <c r="W30" s="120">
        <f>W15-W20</f>
        <v>0</v>
      </c>
      <c r="X30" s="104"/>
      <c r="Y30" s="120">
        <f>Y15-Y20</f>
        <v>0</v>
      </c>
      <c r="Z30" s="104"/>
      <c r="AA30" s="121">
        <f>SUM(B30:Z30)</f>
        <v>0</v>
      </c>
    </row>
    <row r="31" spans="2:27" x14ac:dyDescent="0.2">
      <c r="B31" s="46" t="s">
        <v>48</v>
      </c>
      <c r="C31" s="122">
        <f>C16-C21</f>
        <v>0</v>
      </c>
      <c r="D31" s="104"/>
      <c r="E31" s="120">
        <f>E16-E21</f>
        <v>0</v>
      </c>
      <c r="F31" s="104"/>
      <c r="G31" s="120">
        <f>G16-G21</f>
        <v>0</v>
      </c>
      <c r="H31" s="104"/>
      <c r="I31" s="120">
        <f>I16-I21</f>
        <v>0</v>
      </c>
      <c r="J31" s="104"/>
      <c r="K31" s="120">
        <f>K16-K21</f>
        <v>0</v>
      </c>
      <c r="L31" s="104"/>
      <c r="M31" s="120">
        <f>M16-M21</f>
        <v>0</v>
      </c>
      <c r="N31" s="104"/>
      <c r="O31" s="120">
        <f>O16-O21</f>
        <v>0</v>
      </c>
      <c r="P31" s="104"/>
      <c r="Q31" s="120">
        <f>Q16-Q21</f>
        <v>0</v>
      </c>
      <c r="R31" s="104"/>
      <c r="S31" s="120">
        <f>S16-S21</f>
        <v>0</v>
      </c>
      <c r="T31" s="104"/>
      <c r="U31" s="120">
        <f>U16-U21</f>
        <v>0</v>
      </c>
      <c r="V31" s="104"/>
      <c r="W31" s="120">
        <f>W16-W21</f>
        <v>0</v>
      </c>
      <c r="X31" s="104"/>
      <c r="Y31" s="120">
        <f>Y16-Y21</f>
        <v>0</v>
      </c>
      <c r="Z31" s="104"/>
      <c r="AA31" s="121">
        <f>SUM(B31:Z31)</f>
        <v>0</v>
      </c>
    </row>
    <row r="32" spans="2:27" x14ac:dyDescent="0.2">
      <c r="B32" s="46" t="s">
        <v>49</v>
      </c>
      <c r="C32" s="120">
        <f>C20-C24</f>
        <v>0</v>
      </c>
      <c r="D32" s="104"/>
      <c r="E32" s="120">
        <f>E20-E24</f>
        <v>0</v>
      </c>
      <c r="F32" s="104"/>
      <c r="G32" s="120">
        <f>G20-G24</f>
        <v>0</v>
      </c>
      <c r="H32" s="104"/>
      <c r="I32" s="120">
        <f>I20-I24</f>
        <v>0</v>
      </c>
      <c r="J32" s="104"/>
      <c r="K32" s="120">
        <f>K20-K24</f>
        <v>0</v>
      </c>
      <c r="L32" s="104"/>
      <c r="M32" s="120">
        <f>M20-M24</f>
        <v>0</v>
      </c>
      <c r="N32" s="104"/>
      <c r="O32" s="120">
        <f>O20-O24</f>
        <v>0</v>
      </c>
      <c r="P32" s="104"/>
      <c r="Q32" s="120">
        <f>Q20-Q24</f>
        <v>0</v>
      </c>
      <c r="R32" s="104"/>
      <c r="S32" s="120">
        <f>S20-S24</f>
        <v>0</v>
      </c>
      <c r="T32" s="104"/>
      <c r="U32" s="120">
        <f>U20-U24</f>
        <v>0</v>
      </c>
      <c r="V32" s="104"/>
      <c r="W32" s="120">
        <f>W20-W24</f>
        <v>0</v>
      </c>
      <c r="X32" s="104"/>
      <c r="Y32" s="120">
        <f>Y20-Y24</f>
        <v>0</v>
      </c>
      <c r="Z32" s="104"/>
      <c r="AA32" s="121">
        <f>SUM(B32:Z32)</f>
        <v>0</v>
      </c>
    </row>
    <row r="33" spans="2:27" ht="16" thickBot="1" x14ac:dyDescent="0.25">
      <c r="B33" s="47" t="s">
        <v>50</v>
      </c>
      <c r="C33" s="123">
        <f>C21-C25</f>
        <v>0</v>
      </c>
      <c r="D33" s="124"/>
      <c r="E33" s="123">
        <f>E21-E25</f>
        <v>0</v>
      </c>
      <c r="F33" s="124"/>
      <c r="G33" s="123">
        <f>G21-G25</f>
        <v>0</v>
      </c>
      <c r="H33" s="124"/>
      <c r="I33" s="123">
        <f>I21-I25</f>
        <v>0</v>
      </c>
      <c r="J33" s="124"/>
      <c r="K33" s="123">
        <f>K21-K25</f>
        <v>0</v>
      </c>
      <c r="L33" s="124"/>
      <c r="M33" s="123">
        <f>M21-M25</f>
        <v>0</v>
      </c>
      <c r="N33" s="124"/>
      <c r="O33" s="123">
        <f>O21-O25</f>
        <v>0</v>
      </c>
      <c r="P33" s="124"/>
      <c r="Q33" s="123">
        <f>Q21-Q25</f>
        <v>0</v>
      </c>
      <c r="R33" s="124"/>
      <c r="S33" s="123">
        <f>S21-S25</f>
        <v>0</v>
      </c>
      <c r="T33" s="124"/>
      <c r="U33" s="123">
        <f>U21-U25</f>
        <v>0</v>
      </c>
      <c r="V33" s="124"/>
      <c r="W33" s="123">
        <f>W21-W25</f>
        <v>0</v>
      </c>
      <c r="X33" s="124"/>
      <c r="Y33" s="123">
        <f>Y21-Y25</f>
        <v>0</v>
      </c>
      <c r="Z33" s="124"/>
      <c r="AA33" s="125">
        <f>SUM(C33:Z33)</f>
        <v>0</v>
      </c>
    </row>
    <row r="34" spans="2:27" ht="16" thickBot="1" x14ac:dyDescent="0.25">
      <c r="B34" s="41"/>
      <c r="C34" s="42"/>
      <c r="D34" s="42"/>
      <c r="E34" s="42"/>
      <c r="F34" s="42"/>
      <c r="G34" s="42"/>
      <c r="H34" s="42"/>
      <c r="I34" s="42"/>
      <c r="J34" s="42"/>
      <c r="K34" s="42"/>
      <c r="L34" s="42"/>
      <c r="M34" s="42"/>
      <c r="N34" s="42"/>
      <c r="O34" s="42"/>
      <c r="P34" s="42"/>
      <c r="Q34" s="42"/>
      <c r="R34" s="42"/>
      <c r="S34" s="42"/>
      <c r="T34" s="42"/>
      <c r="U34" s="42"/>
      <c r="V34" s="42"/>
      <c r="W34" s="42"/>
      <c r="X34" s="42"/>
      <c r="Y34" s="42"/>
      <c r="Z34" s="42"/>
      <c r="AA34" s="43"/>
    </row>
    <row r="35" spans="2:27" ht="15" customHeight="1" x14ac:dyDescent="0.2">
      <c r="B35" s="236" t="s">
        <v>115</v>
      </c>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c r="AA35" s="238"/>
    </row>
    <row r="36" spans="2:27" x14ac:dyDescent="0.2">
      <c r="B36" s="233"/>
      <c r="C36" s="234"/>
      <c r="D36" s="234"/>
      <c r="E36" s="234"/>
      <c r="F36" s="234"/>
      <c r="G36" s="234"/>
      <c r="H36" s="234"/>
      <c r="I36" s="234"/>
      <c r="J36" s="234"/>
      <c r="K36" s="234"/>
      <c r="L36" s="234"/>
      <c r="M36" s="234"/>
      <c r="N36" s="234"/>
      <c r="O36" s="234"/>
      <c r="P36" s="234"/>
      <c r="Q36" s="234"/>
      <c r="R36" s="234"/>
      <c r="S36" s="234"/>
      <c r="T36" s="234"/>
      <c r="U36" s="234"/>
      <c r="V36" s="234"/>
      <c r="W36" s="234"/>
      <c r="X36" s="234"/>
      <c r="Y36" s="234"/>
      <c r="Z36" s="234"/>
      <c r="AA36" s="235"/>
    </row>
    <row r="37" spans="2:27" ht="15" customHeight="1" x14ac:dyDescent="0.2">
      <c r="B37" s="227"/>
      <c r="C37" s="228"/>
      <c r="D37" s="228"/>
      <c r="E37" s="228"/>
      <c r="F37" s="228"/>
      <c r="G37" s="228"/>
      <c r="H37" s="228"/>
      <c r="I37" s="228"/>
      <c r="J37" s="228"/>
      <c r="K37" s="228"/>
      <c r="L37" s="228"/>
      <c r="M37" s="228"/>
      <c r="N37" s="228"/>
      <c r="O37" s="228"/>
      <c r="P37" s="228"/>
      <c r="Q37" s="228"/>
      <c r="R37" s="228"/>
      <c r="S37" s="228"/>
      <c r="T37" s="228"/>
      <c r="U37" s="228"/>
      <c r="V37" s="228"/>
      <c r="W37" s="228"/>
      <c r="X37" s="228"/>
      <c r="Y37" s="228"/>
      <c r="Z37" s="228"/>
      <c r="AA37" s="229"/>
    </row>
    <row r="38" spans="2:27" ht="16" thickBot="1" x14ac:dyDescent="0.25">
      <c r="B38" s="230"/>
      <c r="C38" s="231"/>
      <c r="D38" s="231"/>
      <c r="E38" s="231"/>
      <c r="F38" s="231"/>
      <c r="G38" s="231"/>
      <c r="H38" s="231"/>
      <c r="I38" s="231"/>
      <c r="J38" s="231"/>
      <c r="K38" s="231"/>
      <c r="L38" s="231"/>
      <c r="M38" s="231"/>
      <c r="N38" s="231"/>
      <c r="O38" s="231"/>
      <c r="P38" s="231"/>
      <c r="Q38" s="231"/>
      <c r="R38" s="231"/>
      <c r="S38" s="231"/>
      <c r="T38" s="231"/>
      <c r="U38" s="231"/>
      <c r="V38" s="231"/>
      <c r="W38" s="231"/>
      <c r="X38" s="231"/>
      <c r="Y38" s="231"/>
      <c r="Z38" s="231"/>
      <c r="AA38" s="232"/>
    </row>
    <row r="39" spans="2:27" x14ac:dyDescent="0.2">
      <c r="B39" s="28"/>
      <c r="C39" s="28"/>
      <c r="D39" s="28"/>
      <c r="E39" s="28"/>
      <c r="F39" s="28"/>
      <c r="G39" s="4"/>
      <c r="H39" s="29"/>
      <c r="I39" s="28"/>
      <c r="J39" s="28"/>
      <c r="K39" s="28"/>
      <c r="L39" s="28"/>
      <c r="M39" s="4"/>
      <c r="N39" s="4"/>
      <c r="O39" s="28"/>
      <c r="P39" s="28"/>
      <c r="Q39" s="30"/>
      <c r="R39" s="28"/>
      <c r="S39" s="4"/>
      <c r="T39" s="4"/>
      <c r="U39" s="31"/>
      <c r="V39" s="31"/>
      <c r="W39" s="28"/>
      <c r="X39" s="28"/>
      <c r="Y39" s="4"/>
      <c r="Z39" s="4"/>
    </row>
  </sheetData>
  <mergeCells count="34">
    <mergeCell ref="B2:AA2"/>
    <mergeCell ref="C8:D8"/>
    <mergeCell ref="E8:F8"/>
    <mergeCell ref="G8:H8"/>
    <mergeCell ref="I8:J8"/>
    <mergeCell ref="K8:L8"/>
    <mergeCell ref="O8:P8"/>
    <mergeCell ref="Q8:R8"/>
    <mergeCell ref="S8:T8"/>
    <mergeCell ref="U8:V8"/>
    <mergeCell ref="M8:N8"/>
    <mergeCell ref="B3:AA3"/>
    <mergeCell ref="B4:AA4"/>
    <mergeCell ref="B5:AA5"/>
    <mergeCell ref="B6:AA6"/>
    <mergeCell ref="W8:X8"/>
    <mergeCell ref="B38:AA38"/>
    <mergeCell ref="B36:AA36"/>
    <mergeCell ref="B35:AA35"/>
    <mergeCell ref="C27:D27"/>
    <mergeCell ref="E27:F27"/>
    <mergeCell ref="G27:H27"/>
    <mergeCell ref="Y8:Z8"/>
    <mergeCell ref="Y20:Y21"/>
    <mergeCell ref="B37:AA37"/>
    <mergeCell ref="M27:N27"/>
    <mergeCell ref="W27:X27"/>
    <mergeCell ref="Y27:Z27"/>
    <mergeCell ref="I27:J27"/>
    <mergeCell ref="K27:L27"/>
    <mergeCell ref="O27:P27"/>
    <mergeCell ref="Q27:R27"/>
    <mergeCell ref="S27:T27"/>
    <mergeCell ref="U27:V27"/>
  </mergeCells>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Adições e Exclusões</vt:lpstr>
      <vt:lpstr>Acomp. Resultados_2026</vt:lpstr>
      <vt:lpstr>Confrontos Federais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Henrique de Araújo</dc:creator>
  <cp:lastModifiedBy>Matheus Petrakis</cp:lastModifiedBy>
  <cp:lastPrinted>2022-06-06T18:08:45Z</cp:lastPrinted>
  <dcterms:created xsi:type="dcterms:W3CDTF">2019-10-28T20:02:24Z</dcterms:created>
  <dcterms:modified xsi:type="dcterms:W3CDTF">2026-05-14T18:30:49Z</dcterms:modified>
</cp:coreProperties>
</file>