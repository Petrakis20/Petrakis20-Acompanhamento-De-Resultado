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02 - Ferramentas Administrativas\03- Ferramentas Contábil\01 - Setor Contábil\TAIZA PIMENTEL\Projetos\Atualização Acomp. Resultados\Novo\Enviados 06-04-26\"/>
    </mc:Choice>
  </mc:AlternateContent>
  <xr:revisionPtr revIDLastSave="0" documentId="13_ncr:1_{9718155B-B3C8-401D-88AC-327032E1CEF2}" xr6:coauthVersionLast="47" xr6:coauthVersionMax="47" xr10:uidLastSave="{00000000-0000-0000-0000-000000000000}"/>
  <bookViews>
    <workbookView xWindow="-108" yWindow="-108" windowWidth="23256" windowHeight="12576" xr2:uid="{E23F1411-8CF9-4C25-A319-948ACBBD6184}"/>
  </bookViews>
  <sheets>
    <sheet name="Acomp.Resultado_2026" sheetId="3" r:id="rId1"/>
    <sheet name="Confrontos Federais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9" i="3" l="1"/>
  <c r="G99" i="3"/>
  <c r="E49" i="3"/>
  <c r="G49" i="3"/>
  <c r="I49" i="3"/>
  <c r="H44" i="3"/>
  <c r="F44" i="3"/>
  <c r="D44" i="3"/>
  <c r="F34" i="3"/>
  <c r="D34" i="3"/>
  <c r="H206" i="3"/>
  <c r="F206" i="3"/>
  <c r="D206" i="3"/>
  <c r="J205" i="3"/>
  <c r="J204" i="3"/>
  <c r="J206" i="3" s="1"/>
  <c r="F204" i="3"/>
  <c r="J203" i="3"/>
  <c r="J202" i="3"/>
  <c r="H202" i="3"/>
  <c r="F202" i="3"/>
  <c r="D202" i="3"/>
  <c r="I198" i="3"/>
  <c r="E198" i="3"/>
  <c r="I196" i="3"/>
  <c r="E196" i="3"/>
  <c r="N195" i="3"/>
  <c r="P195" i="3" s="1"/>
  <c r="H194" i="3"/>
  <c r="F194" i="3"/>
  <c r="D194" i="3"/>
  <c r="I193" i="3"/>
  <c r="I192" i="3"/>
  <c r="E192" i="3"/>
  <c r="I191" i="3"/>
  <c r="G191" i="3"/>
  <c r="E191" i="3"/>
  <c r="J191" i="3" s="1"/>
  <c r="K191" i="3" s="1"/>
  <c r="I190" i="3"/>
  <c r="E190" i="3"/>
  <c r="I189" i="3"/>
  <c r="J187" i="3"/>
  <c r="H187" i="3"/>
  <c r="F187" i="3"/>
  <c r="D187" i="3"/>
  <c r="J186" i="3"/>
  <c r="H184" i="3"/>
  <c r="F184" i="3"/>
  <c r="D184" i="3"/>
  <c r="N183" i="3"/>
  <c r="I183" i="3"/>
  <c r="E183" i="3"/>
  <c r="P182" i="3"/>
  <c r="P183" i="3" s="1"/>
  <c r="J182" i="3"/>
  <c r="J181" i="3"/>
  <c r="N169" i="3" s="1"/>
  <c r="P169" i="3" s="1"/>
  <c r="H179" i="3"/>
  <c r="H199" i="3" s="1"/>
  <c r="I199" i="3" s="1"/>
  <c r="F179" i="3"/>
  <c r="G193" i="3" s="1"/>
  <c r="D179" i="3"/>
  <c r="E193" i="3" s="1"/>
  <c r="J193" i="3" s="1"/>
  <c r="K193" i="3" s="1"/>
  <c r="J178" i="3"/>
  <c r="J177" i="3"/>
  <c r="J176" i="3"/>
  <c r="J175" i="3"/>
  <c r="J174" i="3"/>
  <c r="J173" i="3"/>
  <c r="N167" i="3" s="1"/>
  <c r="J172" i="3"/>
  <c r="J171" i="3"/>
  <c r="N177" i="3" s="1"/>
  <c r="P177" i="3" s="1"/>
  <c r="N170" i="3"/>
  <c r="P170" i="3" s="1"/>
  <c r="J170" i="3"/>
  <c r="J179" i="3" s="1"/>
  <c r="J169" i="3"/>
  <c r="N168" i="3"/>
  <c r="P168" i="3" s="1"/>
  <c r="J168" i="3"/>
  <c r="J167" i="3"/>
  <c r="H156" i="3"/>
  <c r="D156" i="3"/>
  <c r="J155" i="3"/>
  <c r="J154" i="3"/>
  <c r="J156" i="3" s="1"/>
  <c r="F154" i="3"/>
  <c r="F156" i="3" s="1"/>
  <c r="J153" i="3"/>
  <c r="J152" i="3"/>
  <c r="H152" i="3"/>
  <c r="F152" i="3"/>
  <c r="D152" i="3"/>
  <c r="I148" i="3"/>
  <c r="E146" i="3"/>
  <c r="P145" i="3"/>
  <c r="N145" i="3"/>
  <c r="H144" i="3"/>
  <c r="F144" i="3"/>
  <c r="D144" i="3"/>
  <c r="I143" i="3"/>
  <c r="G142" i="3"/>
  <c r="E142" i="3"/>
  <c r="J142" i="3" s="1"/>
  <c r="K142" i="3" s="1"/>
  <c r="E140" i="3"/>
  <c r="I139" i="3"/>
  <c r="H137" i="3"/>
  <c r="F137" i="3"/>
  <c r="D137" i="3"/>
  <c r="J136" i="3"/>
  <c r="J137" i="3" s="1"/>
  <c r="H134" i="3"/>
  <c r="F134" i="3"/>
  <c r="D134" i="3"/>
  <c r="P133" i="3"/>
  <c r="N133" i="3"/>
  <c r="I133" i="3"/>
  <c r="E133" i="3"/>
  <c r="P132" i="3"/>
  <c r="J132" i="3"/>
  <c r="J131" i="3"/>
  <c r="H129" i="3"/>
  <c r="I146" i="3" s="1"/>
  <c r="F129" i="3"/>
  <c r="G143" i="3" s="1"/>
  <c r="D129" i="3"/>
  <c r="E143" i="3" s="1"/>
  <c r="J143" i="3" s="1"/>
  <c r="K143" i="3" s="1"/>
  <c r="J128" i="3"/>
  <c r="N118" i="3" s="1"/>
  <c r="P118" i="3" s="1"/>
  <c r="J127" i="3"/>
  <c r="P126" i="3"/>
  <c r="P128" i="3" s="1"/>
  <c r="N126" i="3"/>
  <c r="J126" i="3"/>
  <c r="J125" i="3"/>
  <c r="J124" i="3"/>
  <c r="J123" i="3"/>
  <c r="J122" i="3"/>
  <c r="J121" i="3"/>
  <c r="N127" i="3" s="1"/>
  <c r="P127" i="3" s="1"/>
  <c r="N120" i="3"/>
  <c r="P120" i="3" s="1"/>
  <c r="J120" i="3"/>
  <c r="J119" i="3"/>
  <c r="J118" i="3"/>
  <c r="J117" i="3"/>
  <c r="J129" i="3" s="1"/>
  <c r="H106" i="3"/>
  <c r="D106" i="3"/>
  <c r="J105" i="3"/>
  <c r="J104" i="3"/>
  <c r="J106" i="3" s="1"/>
  <c r="F104" i="3"/>
  <c r="F106" i="3" s="1"/>
  <c r="J103" i="3"/>
  <c r="J102" i="3"/>
  <c r="H102" i="3"/>
  <c r="F102" i="3"/>
  <c r="D102" i="3"/>
  <c r="G98" i="3"/>
  <c r="N95" i="3"/>
  <c r="P95" i="3" s="1"/>
  <c r="H94" i="3"/>
  <c r="F94" i="3"/>
  <c r="D94" i="3"/>
  <c r="I93" i="3"/>
  <c r="I92" i="3"/>
  <c r="G92" i="3"/>
  <c r="E92" i="3"/>
  <c r="J92" i="3" s="1"/>
  <c r="I91" i="3"/>
  <c r="I89" i="3"/>
  <c r="H87" i="3"/>
  <c r="F87" i="3"/>
  <c r="D87" i="3"/>
  <c r="J86" i="3"/>
  <c r="H84" i="3"/>
  <c r="F84" i="3"/>
  <c r="F99" i="3" s="1"/>
  <c r="D84" i="3"/>
  <c r="P83" i="3"/>
  <c r="N83" i="3"/>
  <c r="G83" i="3"/>
  <c r="P82" i="3"/>
  <c r="J82" i="3"/>
  <c r="J81" i="3"/>
  <c r="H79" i="3"/>
  <c r="I96" i="3" s="1"/>
  <c r="F79" i="3"/>
  <c r="G93" i="3" s="1"/>
  <c r="D79" i="3"/>
  <c r="E93" i="3" s="1"/>
  <c r="J93" i="3" s="1"/>
  <c r="K93" i="3" s="1"/>
  <c r="J78" i="3"/>
  <c r="N68" i="3" s="1"/>
  <c r="P68" i="3" s="1"/>
  <c r="J77" i="3"/>
  <c r="N76" i="3"/>
  <c r="P76" i="3" s="1"/>
  <c r="J76" i="3"/>
  <c r="J75" i="3"/>
  <c r="J74" i="3"/>
  <c r="J73" i="3"/>
  <c r="J72" i="3"/>
  <c r="J71" i="3"/>
  <c r="N77" i="3" s="1"/>
  <c r="N70" i="3"/>
  <c r="P70" i="3" s="1"/>
  <c r="J70" i="3"/>
  <c r="J69" i="3"/>
  <c r="J68" i="3"/>
  <c r="J67" i="3"/>
  <c r="J79" i="3" s="1"/>
  <c r="K186" i="3" l="1"/>
  <c r="J183" i="3"/>
  <c r="K183" i="3" s="1"/>
  <c r="J198" i="3"/>
  <c r="K198" i="3" s="1"/>
  <c r="N171" i="3"/>
  <c r="N172" i="3" s="1"/>
  <c r="P167" i="3"/>
  <c r="P171" i="3" s="1"/>
  <c r="P172" i="3" s="1"/>
  <c r="D199" i="3"/>
  <c r="E199" i="3" s="1"/>
  <c r="G192" i="3"/>
  <c r="J192" i="3" s="1"/>
  <c r="K192" i="3" s="1"/>
  <c r="N176" i="3"/>
  <c r="G183" i="3"/>
  <c r="E197" i="3"/>
  <c r="J197" i="3" s="1"/>
  <c r="K197" i="3" s="1"/>
  <c r="G198" i="3"/>
  <c r="F199" i="3"/>
  <c r="G199" i="3" s="1"/>
  <c r="G197" i="3"/>
  <c r="E189" i="3"/>
  <c r="G190" i="3"/>
  <c r="J190" i="3" s="1"/>
  <c r="K190" i="3" s="1"/>
  <c r="G196" i="3"/>
  <c r="J196" i="3" s="1"/>
  <c r="K196" i="3" s="1"/>
  <c r="I197" i="3"/>
  <c r="G189" i="3"/>
  <c r="J133" i="3"/>
  <c r="K133" i="3" s="1"/>
  <c r="K136" i="3"/>
  <c r="N128" i="3"/>
  <c r="E141" i="3"/>
  <c r="J141" i="3" s="1"/>
  <c r="K141" i="3" s="1"/>
  <c r="I142" i="3"/>
  <c r="D149" i="3"/>
  <c r="E149" i="3" s="1"/>
  <c r="G141" i="3"/>
  <c r="E148" i="3"/>
  <c r="G133" i="3"/>
  <c r="I141" i="3"/>
  <c r="E147" i="3"/>
  <c r="J147" i="3" s="1"/>
  <c r="K147" i="3" s="1"/>
  <c r="G148" i="3"/>
  <c r="F149" i="3"/>
  <c r="G149" i="3" s="1"/>
  <c r="N119" i="3"/>
  <c r="P119" i="3" s="1"/>
  <c r="G147" i="3"/>
  <c r="E139" i="3"/>
  <c r="G140" i="3"/>
  <c r="J140" i="3" s="1"/>
  <c r="K140" i="3" s="1"/>
  <c r="G146" i="3"/>
  <c r="J146" i="3" s="1"/>
  <c r="K146" i="3" s="1"/>
  <c r="I147" i="3"/>
  <c r="H149" i="3"/>
  <c r="I149" i="3" s="1"/>
  <c r="N117" i="3"/>
  <c r="G139" i="3"/>
  <c r="I140" i="3"/>
  <c r="K92" i="3"/>
  <c r="J84" i="3"/>
  <c r="K86" i="3"/>
  <c r="N78" i="3"/>
  <c r="P77" i="3"/>
  <c r="P78" i="3" s="1"/>
  <c r="E91" i="3"/>
  <c r="D99" i="3"/>
  <c r="E83" i="3"/>
  <c r="J83" i="3" s="1"/>
  <c r="K83" i="3" s="1"/>
  <c r="J87" i="3"/>
  <c r="G91" i="3"/>
  <c r="E98" i="3"/>
  <c r="J98" i="3" s="1"/>
  <c r="K98" i="3" s="1"/>
  <c r="N69" i="3"/>
  <c r="P69" i="3" s="1"/>
  <c r="I83" i="3"/>
  <c r="E90" i="3"/>
  <c r="E96" i="3"/>
  <c r="G97" i="3"/>
  <c r="I98" i="3"/>
  <c r="E97" i="3"/>
  <c r="E89" i="3"/>
  <c r="G90" i="3"/>
  <c r="G96" i="3"/>
  <c r="I97" i="3"/>
  <c r="H99" i="3"/>
  <c r="I99" i="3" s="1"/>
  <c r="N67" i="3"/>
  <c r="G89" i="3"/>
  <c r="I90" i="3"/>
  <c r="N185" i="3" l="1"/>
  <c r="P176" i="3"/>
  <c r="P178" i="3" s="1"/>
  <c r="P185" i="3" s="1"/>
  <c r="P186" i="3" s="1"/>
  <c r="P189" i="3" s="1"/>
  <c r="N178" i="3"/>
  <c r="J189" i="3"/>
  <c r="J184" i="3"/>
  <c r="J148" i="3"/>
  <c r="K148" i="3" s="1"/>
  <c r="J139" i="3"/>
  <c r="J134" i="3"/>
  <c r="N121" i="3"/>
  <c r="N122" i="3" s="1"/>
  <c r="N135" i="3" s="1"/>
  <c r="P117" i="3"/>
  <c r="P121" i="3" s="1"/>
  <c r="P122" i="3" s="1"/>
  <c r="P135" i="3" s="1"/>
  <c r="P136" i="3" s="1"/>
  <c r="P139" i="3" s="1"/>
  <c r="J89" i="3"/>
  <c r="J97" i="3"/>
  <c r="K97" i="3" s="1"/>
  <c r="P67" i="3"/>
  <c r="P71" i="3" s="1"/>
  <c r="P72" i="3" s="1"/>
  <c r="P85" i="3" s="1"/>
  <c r="P86" i="3" s="1"/>
  <c r="P89" i="3" s="1"/>
  <c r="N71" i="3"/>
  <c r="N72" i="3" s="1"/>
  <c r="N85" i="3" s="1"/>
  <c r="J96" i="3"/>
  <c r="K96" i="3" s="1"/>
  <c r="J90" i="3"/>
  <c r="K90" i="3" s="1"/>
  <c r="J91" i="3"/>
  <c r="K91" i="3" s="1"/>
  <c r="P196" i="3" l="1"/>
  <c r="P199" i="3" s="1"/>
  <c r="P197" i="3"/>
  <c r="P198" i="3"/>
  <c r="N187" i="3"/>
  <c r="N186" i="3"/>
  <c r="K189" i="3"/>
  <c r="J194" i="3"/>
  <c r="N136" i="3"/>
  <c r="N137" i="3"/>
  <c r="P148" i="3"/>
  <c r="P146" i="3"/>
  <c r="P149" i="3" s="1"/>
  <c r="P147" i="3"/>
  <c r="J144" i="3"/>
  <c r="K139" i="3"/>
  <c r="N86" i="3"/>
  <c r="N89" i="3" s="1"/>
  <c r="N87" i="3"/>
  <c r="P98" i="3"/>
  <c r="P96" i="3"/>
  <c r="P97" i="3"/>
  <c r="J94" i="3"/>
  <c r="K89" i="3"/>
  <c r="J199" i="3" l="1"/>
  <c r="N189" i="3"/>
  <c r="J149" i="3"/>
  <c r="N139" i="3"/>
  <c r="P99" i="3"/>
  <c r="P91" i="3"/>
  <c r="N97" i="3"/>
  <c r="N98" i="3"/>
  <c r="N96" i="3"/>
  <c r="N99" i="3" s="1"/>
  <c r="J99" i="3"/>
  <c r="P192" i="3" l="1"/>
  <c r="K199" i="3"/>
  <c r="P191" i="3"/>
  <c r="N197" i="3"/>
  <c r="N198" i="3"/>
  <c r="N196" i="3"/>
  <c r="N199" i="3" s="1"/>
  <c r="P141" i="3"/>
  <c r="N147" i="3"/>
  <c r="N148" i="3"/>
  <c r="N146" i="3"/>
  <c r="N149" i="3" s="1"/>
  <c r="K149" i="3"/>
  <c r="P142" i="3"/>
  <c r="K99" i="3"/>
  <c r="P92" i="3"/>
  <c r="P32" i="3" l="1"/>
  <c r="P33" i="3" s="1"/>
  <c r="N33" i="3"/>
  <c r="J31" i="3"/>
  <c r="N19" i="3" s="1"/>
  <c r="P19" i="3" s="1"/>
  <c r="J32" i="3"/>
  <c r="N20" i="3" s="1"/>
  <c r="P20" i="3" s="1"/>
  <c r="H34" i="3"/>
  <c r="J22" i="3" l="1"/>
  <c r="J23" i="3"/>
  <c r="J24" i="3"/>
  <c r="J25" i="3"/>
  <c r="J26" i="3"/>
  <c r="J27" i="3"/>
  <c r="N45" i="3" l="1"/>
  <c r="P45" i="3" s="1"/>
  <c r="J52" i="3" l="1"/>
  <c r="H52" i="3"/>
  <c r="F52" i="3"/>
  <c r="D52" i="3"/>
  <c r="J18" i="3" l="1"/>
  <c r="J19" i="3"/>
  <c r="J20" i="3"/>
  <c r="N26" i="3" s="1"/>
  <c r="J21" i="3"/>
  <c r="J36" i="3"/>
  <c r="F37" i="3"/>
  <c r="H37" i="3"/>
  <c r="D37" i="3"/>
  <c r="N27" i="3" l="1"/>
  <c r="P27" i="3" s="1"/>
  <c r="P26" i="3"/>
  <c r="J37" i="3"/>
  <c r="H29" i="3"/>
  <c r="F29" i="3"/>
  <c r="N28" i="3" l="1"/>
  <c r="P28" i="3"/>
  <c r="G43" i="3"/>
  <c r="G42" i="3"/>
  <c r="G33" i="3"/>
  <c r="G47" i="3"/>
  <c r="G46" i="3"/>
  <c r="G39" i="3"/>
  <c r="G48" i="3"/>
  <c r="G40" i="3"/>
  <c r="G41" i="3"/>
  <c r="I47" i="3"/>
  <c r="I41" i="3"/>
  <c r="I46" i="3"/>
  <c r="I40" i="3"/>
  <c r="I48" i="3"/>
  <c r="I39" i="3"/>
  <c r="I33" i="3"/>
  <c r="I42" i="3"/>
  <c r="I43" i="3"/>
  <c r="F49" i="3"/>
  <c r="H49" i="3"/>
  <c r="I33" i="5"/>
  <c r="G33" i="5"/>
  <c r="E33" i="5"/>
  <c r="C33" i="5"/>
  <c r="I32" i="5"/>
  <c r="G32" i="5"/>
  <c r="K32" i="5" s="1"/>
  <c r="E32" i="5"/>
  <c r="C32" i="5"/>
  <c r="I31" i="5"/>
  <c r="G31" i="5"/>
  <c r="E31" i="5"/>
  <c r="C31" i="5"/>
  <c r="I30" i="5"/>
  <c r="K30" i="5" s="1"/>
  <c r="G30" i="5"/>
  <c r="E30" i="5"/>
  <c r="C30" i="5"/>
  <c r="I29" i="5"/>
  <c r="G29" i="5"/>
  <c r="E29" i="5"/>
  <c r="C29" i="5"/>
  <c r="I28" i="5"/>
  <c r="G28" i="5"/>
  <c r="E28" i="5"/>
  <c r="C28" i="5"/>
  <c r="K25" i="5"/>
  <c r="K24" i="5"/>
  <c r="K21" i="5"/>
  <c r="K20" i="5"/>
  <c r="K16" i="5"/>
  <c r="K15" i="5"/>
  <c r="K12" i="5"/>
  <c r="K11" i="5"/>
  <c r="K29" i="5" l="1"/>
  <c r="K31" i="5"/>
  <c r="K33" i="5"/>
  <c r="K28" i="5"/>
  <c r="J17" i="3" l="1"/>
  <c r="N17" i="3" s="1"/>
  <c r="J28" i="3"/>
  <c r="N18" i="3" s="1"/>
  <c r="P18" i="3" s="1"/>
  <c r="D29" i="3"/>
  <c r="J53" i="3"/>
  <c r="F54" i="3"/>
  <c r="F56" i="3" s="1"/>
  <c r="J54" i="3"/>
  <c r="J55" i="3"/>
  <c r="D56" i="3"/>
  <c r="H56" i="3"/>
  <c r="N21" i="3" l="1"/>
  <c r="N22" i="3" s="1"/>
  <c r="N35" i="3" s="1"/>
  <c r="E48" i="3"/>
  <c r="J48" i="3" s="1"/>
  <c r="E43" i="3"/>
  <c r="J43" i="3" s="1"/>
  <c r="E47" i="3"/>
  <c r="J47" i="3" s="1"/>
  <c r="E42" i="3"/>
  <c r="J42" i="3" s="1"/>
  <c r="E46" i="3"/>
  <c r="J46" i="3" s="1"/>
  <c r="E41" i="3"/>
  <c r="E40" i="3"/>
  <c r="J40" i="3" s="1"/>
  <c r="E39" i="3"/>
  <c r="E33" i="3"/>
  <c r="J33" i="3" s="1"/>
  <c r="J34" i="3" s="1"/>
  <c r="D49" i="3"/>
  <c r="J56" i="3"/>
  <c r="J29" i="3"/>
  <c r="N36" i="3" l="1"/>
  <c r="N37" i="3"/>
  <c r="P17" i="3"/>
  <c r="K43" i="3"/>
  <c r="K40" i="3"/>
  <c r="K42" i="3"/>
  <c r="K33" i="3"/>
  <c r="K48" i="3"/>
  <c r="K46" i="3"/>
  <c r="K47" i="3"/>
  <c r="J41" i="3"/>
  <c r="K41" i="3" s="1"/>
  <c r="K36" i="3"/>
  <c r="J39" i="3"/>
  <c r="K39" i="3" s="1"/>
  <c r="N39" i="3" l="1"/>
  <c r="P21" i="3"/>
  <c r="J44" i="3"/>
  <c r="P22" i="3" l="1"/>
  <c r="P35" i="3" s="1"/>
  <c r="P36" i="3" s="1"/>
  <c r="J49" i="3"/>
  <c r="P42" i="3" l="1"/>
  <c r="K49" i="3"/>
  <c r="P39" i="3"/>
  <c r="P41" i="3" s="1"/>
  <c r="P48" i="3" l="1"/>
  <c r="P47" i="3"/>
  <c r="P46" i="3"/>
  <c r="N46" i="3"/>
  <c r="N47" i="3"/>
  <c r="N48" i="3"/>
  <c r="P49" i="3" l="1"/>
  <c r="N49" i="3"/>
</calcChain>
</file>

<file path=xl/sharedStrings.xml><?xml version="1.0" encoding="utf-8"?>
<sst xmlns="http://schemas.openxmlformats.org/spreadsheetml/2006/main" count="405" uniqueCount="115">
  <si>
    <t>JANEIRO</t>
  </si>
  <si>
    <t>FEVEREIRO</t>
  </si>
  <si>
    <t>MARÇO</t>
  </si>
  <si>
    <t>(+/-) Outros Resultados Operacionais</t>
  </si>
  <si>
    <t>(+/-) Resultado Financeiro</t>
  </si>
  <si>
    <t>Custo Total</t>
  </si>
  <si>
    <t>(-) Despesas</t>
  </si>
  <si>
    <t>Dif. Estoque (Gerencial Vs Contábil)</t>
  </si>
  <si>
    <t>Parcela CSLL 3/3</t>
  </si>
  <si>
    <t>Parcela IRPJ 3/3</t>
  </si>
  <si>
    <t>Estoque Relatório Gerencial</t>
  </si>
  <si>
    <t>Parcela CSLL 2/3</t>
  </si>
  <si>
    <t>Parcela IRPJ 2/3</t>
  </si>
  <si>
    <t>Estoque Contábil</t>
  </si>
  <si>
    <t>Parcela CSLL 1/3</t>
  </si>
  <si>
    <t>Parcela IRPJ 1/3</t>
  </si>
  <si>
    <t>Compras (Média)</t>
  </si>
  <si>
    <t>Simulação Cotas de IRPJ e CSLL</t>
  </si>
  <si>
    <t>Acompanhamento de Estoque</t>
  </si>
  <si>
    <t>RESULTADO APÓS IR/CS</t>
  </si>
  <si>
    <t>TOTAL IR E CS</t>
  </si>
  <si>
    <t>CS Retido</t>
  </si>
  <si>
    <t>Adic. IR</t>
  </si>
  <si>
    <t>CSLL</t>
  </si>
  <si>
    <t>IR</t>
  </si>
  <si>
    <t>Resultado</t>
  </si>
  <si>
    <t>(-) CMV</t>
  </si>
  <si>
    <t>Receita Líquida</t>
  </si>
  <si>
    <t>IRPJ</t>
  </si>
  <si>
    <t>%</t>
  </si>
  <si>
    <t>Previsão de IRPJ e CSLL</t>
  </si>
  <si>
    <t>Acompanhamento de Resultado</t>
  </si>
  <si>
    <t>1º TRIMESTRE_2026</t>
  </si>
  <si>
    <t>ACOMPANHAMENTO DE RESULTADO CONTÁBIL</t>
  </si>
  <si>
    <t>IRPJ e CSLL</t>
  </si>
  <si>
    <t>DEMONSTRAÇÃO CONTÁBIL</t>
  </si>
  <si>
    <t>MEMÓRIA DE CÁLCULO</t>
  </si>
  <si>
    <t>VALORES RECOLHIDOS/COMPENSADO</t>
  </si>
  <si>
    <t>CONFRONTOS</t>
  </si>
  <si>
    <t>CONTÁBIL VS APURADO - IRPJ</t>
  </si>
  <si>
    <t>CONTÁBIL VS APURADO - CSLL</t>
  </si>
  <si>
    <t>APURADO VS DECLARADO - IRPJ</t>
  </si>
  <si>
    <t>APURADO VS DECLARADO - CSLL</t>
  </si>
  <si>
    <t>DECLARADO VS PAGO/COMPENSADO - IRPJ</t>
  </si>
  <si>
    <t>DECLARADO VS PAGO/COMPENSADO - CSLL</t>
  </si>
  <si>
    <t>CONFRONTOS 2026PURAÇÕES VS DECLARAÇÕES_IRPJ E CSLL</t>
  </si>
  <si>
    <t>1º TRIM_2026</t>
  </si>
  <si>
    <t>2º TRIM_2026</t>
  </si>
  <si>
    <t>3º TRIM_2026</t>
  </si>
  <si>
    <t>4º TRIM_2026</t>
  </si>
  <si>
    <t>TOTAL 2026</t>
  </si>
  <si>
    <t>Observação:</t>
  </si>
  <si>
    <t>Incentivos Fiscais</t>
  </si>
  <si>
    <t>(+) Incentivos Fiscais</t>
  </si>
  <si>
    <t>(-)  CPV</t>
  </si>
  <si>
    <t>(-)   CSP</t>
  </si>
  <si>
    <t>(+) Receita de Venda de Mercadorias</t>
  </si>
  <si>
    <t>(+) Receita de Serviços</t>
  </si>
  <si>
    <t>(+) Receita de Venda de Produtos</t>
  </si>
  <si>
    <t>(+) Receita de Transportes</t>
  </si>
  <si>
    <t>(+) Receita de Locação</t>
  </si>
  <si>
    <t>(-) Devoluções</t>
  </si>
  <si>
    <t>(-) Outras  Deduções</t>
  </si>
  <si>
    <t>Outras Deduções da Receita</t>
  </si>
  <si>
    <t>1º TRIMESTRE</t>
  </si>
  <si>
    <t>IRPJ a pagar</t>
  </si>
  <si>
    <t>CSLL a pagar</t>
  </si>
  <si>
    <t>NOME DA EMPRESA</t>
  </si>
  <si>
    <t>CNPJ DA EMPRESA</t>
  </si>
  <si>
    <t>Obvervações</t>
  </si>
  <si>
    <t>2º TRIMESTRE_2026</t>
  </si>
  <si>
    <t>ABRIL</t>
  </si>
  <si>
    <t>MAIO</t>
  </si>
  <si>
    <t>JUNHO</t>
  </si>
  <si>
    <t>2º TRIMESTRE</t>
  </si>
  <si>
    <t>3º TRIMESTRE_2026</t>
  </si>
  <si>
    <t>JULHO</t>
  </si>
  <si>
    <t>AGOSTO</t>
  </si>
  <si>
    <t>SETEMBRO</t>
  </si>
  <si>
    <t>3º TRIMESTRE</t>
  </si>
  <si>
    <t>4º TRIMESTRE_2026</t>
  </si>
  <si>
    <t>OUTUBRO</t>
  </si>
  <si>
    <t>NOVEMBRO</t>
  </si>
  <si>
    <t>DEZEMBRO</t>
  </si>
  <si>
    <t>4º TRIMESTRE</t>
  </si>
  <si>
    <t>(-) IR Retido</t>
  </si>
  <si>
    <t>(-)   Custos com Produção</t>
  </si>
  <si>
    <t>(-)   Custos Alienação</t>
  </si>
  <si>
    <t>(+) Receita Financeira</t>
  </si>
  <si>
    <t>(+) Receita de venda de Bens Imóveis</t>
  </si>
  <si>
    <t>(+) Demais receitas com vendas</t>
  </si>
  <si>
    <t>(+) Receita de Exportação de Produtos</t>
  </si>
  <si>
    <t>(+) Receita de Exportação de Mercadoria</t>
  </si>
  <si>
    <t>(+) Receita de Cartulas</t>
  </si>
  <si>
    <t xml:space="preserve">(-) Devolução </t>
  </si>
  <si>
    <t>(-) Substituição Tributária</t>
  </si>
  <si>
    <t>(-) IPI</t>
  </si>
  <si>
    <t>(-) ICMS ST s/ Vendas</t>
  </si>
  <si>
    <t>(-) IPI s/ Vendas</t>
  </si>
  <si>
    <t>Receita Bruta</t>
  </si>
  <si>
    <t>VENDA/REVENDA/TRANSPORTES</t>
  </si>
  <si>
    <t>(+) B.C IR_ 8%</t>
  </si>
  <si>
    <t>(+) B.C CS_ 12%</t>
  </si>
  <si>
    <t>SERVIÇOS/LOCAÇÃO</t>
  </si>
  <si>
    <t>Receita (Serviços)</t>
  </si>
  <si>
    <t>Receita (Locação)</t>
  </si>
  <si>
    <t>(+) B.C IR_ 32%</t>
  </si>
  <si>
    <t>(+) B.C CS_ 32%</t>
  </si>
  <si>
    <t>Faturamento Líquido</t>
  </si>
  <si>
    <t>RECEITA FINANCEIRA</t>
  </si>
  <si>
    <t>Receita Financeira</t>
  </si>
  <si>
    <t>(+) B.C IR_ 100%</t>
  </si>
  <si>
    <t>(+) B.C CS_ 100%</t>
  </si>
  <si>
    <t>Base de Cálculo</t>
  </si>
  <si>
    <t>VALORES DECLARADOS 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</si>
</sst>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_-&quot;R$&quot;* #,##0.00_-;\-&quot;R$&quot;* #,##0.00_-;_-&quot;R$&quot;* &quot;-&quot;??_-;_-@_-"/>
    <numFmt numFmtId="166" formatCode="0.00_ ;[Red]\-0.00\ 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0"/>
      <name val="Arial"/>
      <family val="2"/>
    </font>
    <font>
      <sz val="10"/>
      <color indexed="0"/>
      <name val="Arial"/>
      <family val="2"/>
    </font>
    <font>
      <sz val="11"/>
      <name val="Calibri"/>
      <family val="2"/>
      <scheme val="minor"/>
    </font>
    <font>
      <b/>
      <i/>
      <strike/>
      <u/>
      <sz val="10"/>
      <color indexed="0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singleAccounting"/>
      <sz val="11"/>
      <color theme="8" tint="-0.499984740745262"/>
      <name val="Calibri"/>
      <family val="2"/>
      <scheme val="minor"/>
    </font>
    <font>
      <b/>
      <i/>
      <sz val="11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  <font>
      <b/>
      <sz val="14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color indexed="9"/>
      <name val="Calibri"/>
      <family val="2"/>
    </font>
    <font>
      <sz val="10"/>
      <color theme="1"/>
      <name val="Calibri"/>
      <family val="2"/>
      <scheme val="minor"/>
    </font>
    <font>
      <sz val="8"/>
      <color indexed="62"/>
      <name val="Calibri"/>
      <family val="2"/>
    </font>
    <font>
      <sz val="11"/>
      <color indexed="8"/>
      <name val="Calibri"/>
      <family val="2"/>
    </font>
    <font>
      <i/>
      <sz val="10"/>
      <color indexed="56"/>
      <name val="Calibri"/>
      <family val="2"/>
    </font>
    <font>
      <sz val="10"/>
      <color indexed="62"/>
      <name val="Calibri"/>
      <family val="2"/>
    </font>
    <font>
      <sz val="10"/>
      <color indexed="8"/>
      <name val="Calibri"/>
      <family val="2"/>
    </font>
    <font>
      <i/>
      <sz val="10"/>
      <color indexed="62"/>
      <name val="Calibri"/>
      <family val="2"/>
    </font>
    <font>
      <i/>
      <sz val="11"/>
      <color indexed="56"/>
      <name val="Calibri"/>
      <family val="2"/>
    </font>
    <font>
      <b/>
      <u/>
      <sz val="10"/>
      <color indexed="9"/>
      <name val="Calibri"/>
      <family val="2"/>
    </font>
    <font>
      <i/>
      <sz val="10"/>
      <color rgb="FFFF0000"/>
      <name val="Calibri"/>
      <family val="2"/>
    </font>
    <font>
      <b/>
      <i/>
      <sz val="10"/>
      <color indexed="56"/>
      <name val="Calibri"/>
      <family val="2"/>
    </font>
    <font>
      <b/>
      <u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8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theme="4" tint="0.59999389629810485"/>
      </left>
      <right/>
      <top/>
      <bottom style="double">
        <color theme="4" tint="0.59999389629810485"/>
      </bottom>
      <diagonal/>
    </border>
    <border>
      <left/>
      <right style="double">
        <color theme="4" tint="0.59999389629810485"/>
      </right>
      <top/>
      <bottom/>
      <diagonal/>
    </border>
    <border>
      <left style="double">
        <color theme="4" tint="0.59999389629810485"/>
      </left>
      <right/>
      <top/>
      <bottom/>
      <diagonal/>
    </border>
    <border>
      <left/>
      <right/>
      <top/>
      <bottom style="double">
        <color theme="4" tint="0.59999389629810485"/>
      </bottom>
      <diagonal/>
    </border>
    <border>
      <left/>
      <right style="double">
        <color theme="4" tint="0.59999389629810485"/>
      </right>
      <top style="double">
        <color theme="4" tint="0.59999389629810485"/>
      </top>
      <bottom/>
      <diagonal/>
    </border>
    <border>
      <left style="double">
        <color theme="4" tint="0.59999389629810485"/>
      </left>
      <right/>
      <top style="double">
        <color theme="4" tint="0.59999389629810485"/>
      </top>
      <bottom/>
      <diagonal/>
    </border>
    <border>
      <left/>
      <right/>
      <top style="double">
        <color theme="4" tint="0.59999389629810485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56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ashed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56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/>
      <top style="thin">
        <color indexed="64"/>
      </top>
      <bottom style="thin">
        <color theme="3"/>
      </bottom>
      <diagonal/>
    </border>
    <border>
      <left/>
      <right/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/>
      <top style="double">
        <color theme="4" tint="0.59999389629810485"/>
      </top>
      <bottom/>
      <diagonal/>
    </border>
    <border>
      <left/>
      <right style="thin">
        <color theme="3"/>
      </right>
      <top style="double">
        <color theme="4" tint="0.59999389629810485"/>
      </top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/>
      <bottom style="double">
        <color theme="4" tint="0.59999389629810485"/>
      </bottom>
      <diagonal/>
    </border>
    <border>
      <left/>
      <right style="thin">
        <color theme="3"/>
      </right>
      <top/>
      <bottom style="double">
        <color theme="4" tint="0.59999389629810485"/>
      </bottom>
      <diagonal/>
    </border>
    <border>
      <left/>
      <right style="thin">
        <color theme="3"/>
      </right>
      <top style="double">
        <color theme="4" tint="0.59999389629810485"/>
      </top>
      <bottom style="double">
        <color theme="4" tint="0.59999389629810485"/>
      </bottom>
      <diagonal/>
    </border>
    <border>
      <left/>
      <right style="double">
        <color theme="4" tint="0.59999389629810485"/>
      </right>
      <top/>
      <bottom style="double">
        <color theme="4" tint="0.59999389629810485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3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theme="3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double">
        <color theme="4" tint="0.59999389629810485"/>
      </bottom>
      <diagonal/>
    </border>
    <border>
      <left/>
      <right/>
      <top/>
      <bottom style="hair">
        <color indexed="64"/>
      </bottom>
      <diagonal/>
    </border>
    <border>
      <left style="thin">
        <color theme="3"/>
      </left>
      <right/>
      <top/>
      <bottom style="thin">
        <color indexed="64"/>
      </bottom>
      <diagonal/>
    </border>
    <border>
      <left style="double">
        <color theme="4" tint="0.59999389629810485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theme="3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9" fillId="0" borderId="0"/>
  </cellStyleXfs>
  <cellXfs count="241">
    <xf numFmtId="0" fontId="0" fillId="0" borderId="0" xfId="0"/>
    <xf numFmtId="0" fontId="4" fillId="0" borderId="0" xfId="0" applyFont="1"/>
    <xf numFmtId="44" fontId="0" fillId="0" borderId="0" xfId="9" applyFont="1" applyFill="1" applyBorder="1"/>
    <xf numFmtId="0" fontId="3" fillId="0" borderId="1" xfId="0" applyFont="1" applyBorder="1" applyAlignment="1">
      <alignment horizontal="center"/>
    </xf>
    <xf numFmtId="0" fontId="12" fillId="0" borderId="4" xfId="0" applyFont="1" applyBorder="1"/>
    <xf numFmtId="0" fontId="12" fillId="0" borderId="7" xfId="0" applyFont="1" applyBorder="1"/>
    <xf numFmtId="0" fontId="15" fillId="0" borderId="4" xfId="0" applyFont="1" applyBorder="1" applyAlignment="1">
      <alignment horizontal="right"/>
    </xf>
    <xf numFmtId="44" fontId="3" fillId="0" borderId="0" xfId="9" applyFont="1" applyFill="1" applyBorder="1"/>
    <xf numFmtId="0" fontId="16" fillId="0" borderId="4" xfId="0" applyFont="1" applyBorder="1" applyAlignment="1">
      <alignment horizontal="right"/>
    </xf>
    <xf numFmtId="9" fontId="0" fillId="0" borderId="0" xfId="3" applyFont="1" applyFill="1" applyBorder="1" applyAlignment="1">
      <alignment horizontal="center"/>
    </xf>
    <xf numFmtId="0" fontId="16" fillId="0" borderId="4" xfId="0" applyFont="1" applyBorder="1" applyAlignment="1">
      <alignment horizontal="left"/>
    </xf>
    <xf numFmtId="44" fontId="0" fillId="0" borderId="0" xfId="0" applyNumberFormat="1"/>
    <xf numFmtId="0" fontId="25" fillId="9" borderId="12" xfId="0" applyFont="1" applyFill="1" applyBorder="1" applyAlignment="1">
      <alignment horizontal="right" vertical="center"/>
    </xf>
    <xf numFmtId="0" fontId="25" fillId="9" borderId="13" xfId="0" applyFont="1" applyFill="1" applyBorder="1" applyAlignment="1">
      <alignment horizontal="center" vertical="center"/>
    </xf>
    <xf numFmtId="0" fontId="0" fillId="0" borderId="15" xfId="0" applyBorder="1"/>
    <xf numFmtId="44" fontId="26" fillId="10" borderId="16" xfId="0" applyNumberFormat="1" applyFont="1" applyFill="1" applyBorder="1" applyAlignment="1">
      <alignment horizontal="right"/>
    </xf>
    <xf numFmtId="44" fontId="27" fillId="10" borderId="17" xfId="9" applyFont="1" applyFill="1" applyBorder="1" applyAlignment="1">
      <alignment horizontal="center" vertical="center"/>
    </xf>
    <xf numFmtId="44" fontId="28" fillId="10" borderId="18" xfId="9" applyFont="1" applyFill="1" applyBorder="1" applyAlignment="1">
      <alignment horizontal="right"/>
    </xf>
    <xf numFmtId="44" fontId="28" fillId="10" borderId="19" xfId="9" applyFont="1" applyFill="1" applyBorder="1" applyAlignment="1">
      <alignment horizontal="right"/>
    </xf>
    <xf numFmtId="44" fontId="28" fillId="10" borderId="20" xfId="9" applyFont="1" applyFill="1" applyBorder="1" applyAlignment="1">
      <alignment horizontal="right"/>
    </xf>
    <xf numFmtId="0" fontId="29" fillId="10" borderId="21" xfId="0" applyFont="1" applyFill="1" applyBorder="1" applyAlignment="1">
      <alignment horizontal="right"/>
    </xf>
    <xf numFmtId="44" fontId="30" fillId="10" borderId="22" xfId="9" applyFont="1" applyFill="1" applyBorder="1" applyAlignment="1">
      <alignment horizontal="right"/>
    </xf>
    <xf numFmtId="44" fontId="31" fillId="10" borderId="23" xfId="9" applyFont="1" applyFill="1" applyBorder="1" applyAlignment="1">
      <alignment horizontal="right"/>
    </xf>
    <xf numFmtId="44" fontId="31" fillId="10" borderId="24" xfId="9" applyFont="1" applyFill="1" applyBorder="1" applyAlignment="1">
      <alignment horizontal="right"/>
    </xf>
    <xf numFmtId="44" fontId="31" fillId="10" borderId="25" xfId="9" applyFont="1" applyFill="1" applyBorder="1" applyAlignment="1">
      <alignment horizontal="right"/>
    </xf>
    <xf numFmtId="0" fontId="26" fillId="0" borderId="21" xfId="0" applyFont="1" applyBorder="1"/>
    <xf numFmtId="44" fontId="31" fillId="0" borderId="22" xfId="9" applyFont="1" applyBorder="1"/>
    <xf numFmtId="44" fontId="31" fillId="0" borderId="23" xfId="9" applyFont="1" applyBorder="1"/>
    <xf numFmtId="44" fontId="31" fillId="0" borderId="24" xfId="9" applyFont="1" applyBorder="1"/>
    <xf numFmtId="44" fontId="31" fillId="0" borderId="25" xfId="9" applyFont="1" applyBorder="1"/>
    <xf numFmtId="44" fontId="26" fillId="0" borderId="21" xfId="0" applyNumberFormat="1" applyFont="1" applyBorder="1" applyAlignment="1">
      <alignment horizontal="right"/>
    </xf>
    <xf numFmtId="44" fontId="30" fillId="0" borderId="22" xfId="9" applyFont="1" applyFill="1" applyBorder="1" applyAlignment="1">
      <alignment horizontal="center"/>
    </xf>
    <xf numFmtId="44" fontId="31" fillId="0" borderId="23" xfId="9" applyFont="1" applyFill="1" applyBorder="1" applyAlignment="1">
      <alignment horizontal="right"/>
    </xf>
    <xf numFmtId="44" fontId="31" fillId="0" borderId="24" xfId="9" applyFont="1" applyFill="1" applyBorder="1" applyAlignment="1">
      <alignment horizontal="right"/>
    </xf>
    <xf numFmtId="44" fontId="31" fillId="0" borderId="25" xfId="9" applyFont="1" applyFill="1" applyBorder="1" applyAlignment="1">
      <alignment horizontal="right"/>
    </xf>
    <xf numFmtId="0" fontId="29" fillId="0" borderId="21" xfId="0" applyFont="1" applyBorder="1" applyAlignment="1">
      <alignment horizontal="right"/>
    </xf>
    <xf numFmtId="44" fontId="29" fillId="0" borderId="23" xfId="9" applyFont="1" applyFill="1" applyBorder="1" applyAlignment="1">
      <alignment horizontal="right"/>
    </xf>
    <xf numFmtId="44" fontId="29" fillId="0" borderId="24" xfId="9" applyFont="1" applyFill="1" applyBorder="1" applyAlignment="1">
      <alignment horizontal="right"/>
    </xf>
    <xf numFmtId="44" fontId="31" fillId="0" borderId="22" xfId="9" applyFont="1" applyFill="1" applyBorder="1"/>
    <xf numFmtId="44" fontId="31" fillId="0" borderId="23" xfId="9" applyFont="1" applyFill="1" applyBorder="1"/>
    <xf numFmtId="44" fontId="31" fillId="0" borderId="24" xfId="9" applyFont="1" applyFill="1" applyBorder="1"/>
    <xf numFmtId="44" fontId="31" fillId="0" borderId="25" xfId="9" applyFont="1" applyFill="1" applyBorder="1"/>
    <xf numFmtId="44" fontId="32" fillId="0" borderId="22" xfId="9" applyFont="1" applyFill="1" applyBorder="1" applyAlignment="1"/>
    <xf numFmtId="44" fontId="32" fillId="0" borderId="23" xfId="9" applyFont="1" applyFill="1" applyBorder="1" applyAlignment="1"/>
    <xf numFmtId="44" fontId="32" fillId="0" borderId="24" xfId="9" applyFont="1" applyFill="1" applyBorder="1" applyAlignment="1"/>
    <xf numFmtId="44" fontId="32" fillId="0" borderId="25" xfId="9" applyFont="1" applyFill="1" applyBorder="1" applyAlignment="1"/>
    <xf numFmtId="44" fontId="29" fillId="0" borderId="22" xfId="9" applyFont="1" applyFill="1" applyBorder="1" applyAlignment="1">
      <alignment horizontal="right"/>
    </xf>
    <xf numFmtId="44" fontId="29" fillId="0" borderId="25" xfId="9" applyFont="1" applyFill="1" applyBorder="1" applyAlignment="1">
      <alignment horizontal="right"/>
    </xf>
    <xf numFmtId="0" fontId="29" fillId="0" borderId="26" xfId="0" applyFont="1" applyBorder="1" applyAlignment="1">
      <alignment horizontal="right"/>
    </xf>
    <xf numFmtId="44" fontId="30" fillId="10" borderId="27" xfId="9" applyFont="1" applyFill="1" applyBorder="1" applyAlignment="1">
      <alignment horizontal="right"/>
    </xf>
    <xf numFmtId="44" fontId="29" fillId="0" borderId="28" xfId="9" applyFont="1" applyFill="1" applyBorder="1" applyAlignment="1">
      <alignment horizontal="right"/>
    </xf>
    <xf numFmtId="44" fontId="29" fillId="0" borderId="29" xfId="9" applyFont="1" applyFill="1" applyBorder="1" applyAlignment="1">
      <alignment horizontal="right"/>
    </xf>
    <xf numFmtId="44" fontId="31" fillId="0" borderId="30" xfId="9" applyFont="1" applyFill="1" applyBorder="1" applyAlignment="1">
      <alignment horizontal="right"/>
    </xf>
    <xf numFmtId="0" fontId="33" fillId="0" borderId="0" xfId="0" applyFont="1" applyAlignment="1">
      <alignment horizontal="right"/>
    </xf>
    <xf numFmtId="44" fontId="33" fillId="0" borderId="0" xfId="9" applyFont="1" applyFill="1" applyBorder="1" applyAlignment="1">
      <alignment horizontal="right"/>
    </xf>
    <xf numFmtId="44" fontId="28" fillId="0" borderId="0" xfId="9" applyFont="1" applyFill="1" applyBorder="1" applyAlignment="1">
      <alignment horizontal="right"/>
    </xf>
    <xf numFmtId="0" fontId="34" fillId="9" borderId="12" xfId="0" applyFont="1" applyFill="1" applyBorder="1" applyAlignment="1">
      <alignment horizontal="right" vertical="center"/>
    </xf>
    <xf numFmtId="0" fontId="25" fillId="9" borderId="31" xfId="0" applyFont="1" applyFill="1" applyBorder="1" applyAlignment="1">
      <alignment horizontal="center" vertical="center"/>
    </xf>
    <xf numFmtId="0" fontId="29" fillId="0" borderId="32" xfId="0" applyFont="1" applyBorder="1" applyAlignment="1">
      <alignment horizontal="right"/>
    </xf>
    <xf numFmtId="44" fontId="33" fillId="0" borderId="33" xfId="9" applyFont="1" applyFill="1" applyBorder="1" applyAlignment="1">
      <alignment horizontal="right"/>
    </xf>
    <xf numFmtId="44" fontId="33" fillId="0" borderId="34" xfId="9" applyFont="1" applyFill="1" applyBorder="1" applyAlignment="1">
      <alignment horizontal="right"/>
    </xf>
    <xf numFmtId="44" fontId="28" fillId="0" borderId="35" xfId="9" applyFont="1" applyFill="1" applyBorder="1" applyAlignment="1">
      <alignment horizontal="right"/>
    </xf>
    <xf numFmtId="0" fontId="29" fillId="0" borderId="36" xfId="0" applyFont="1" applyBorder="1" applyAlignment="1">
      <alignment horizontal="right"/>
    </xf>
    <xf numFmtId="44" fontId="33" fillId="0" borderId="21" xfId="9" applyFont="1" applyFill="1" applyBorder="1" applyAlignment="1">
      <alignment horizontal="right"/>
    </xf>
    <xf numFmtId="44" fontId="33" fillId="0" borderId="24" xfId="9" applyFont="1" applyFill="1" applyBorder="1" applyAlignment="1">
      <alignment horizontal="right"/>
    </xf>
    <xf numFmtId="44" fontId="28" fillId="0" borderId="37" xfId="9" applyFont="1" applyFill="1" applyBorder="1" applyAlignment="1">
      <alignment horizontal="right"/>
    </xf>
    <xf numFmtId="0" fontId="29" fillId="0" borderId="38" xfId="0" applyFont="1" applyBorder="1" applyAlignment="1">
      <alignment horizontal="right"/>
    </xf>
    <xf numFmtId="44" fontId="33" fillId="0" borderId="39" xfId="9" applyFont="1" applyFill="1" applyBorder="1" applyAlignment="1">
      <alignment horizontal="right"/>
    </xf>
    <xf numFmtId="44" fontId="33" fillId="0" borderId="40" xfId="9" applyFont="1" applyFill="1" applyBorder="1" applyAlignment="1">
      <alignment horizontal="right"/>
    </xf>
    <xf numFmtId="44" fontId="28" fillId="0" borderId="41" xfId="9" applyFont="1" applyFill="1" applyBorder="1" applyAlignment="1">
      <alignment horizontal="right"/>
    </xf>
    <xf numFmtId="44" fontId="28" fillId="0" borderId="0" xfId="9" applyFont="1" applyFill="1"/>
    <xf numFmtId="9" fontId="3" fillId="0" borderId="0" xfId="3" applyFont="1" applyFill="1" applyBorder="1"/>
    <xf numFmtId="40" fontId="0" fillId="0" borderId="0" xfId="2" applyNumberFormat="1" applyFont="1" applyBorder="1"/>
    <xf numFmtId="0" fontId="35" fillId="11" borderId="38" xfId="0" applyFont="1" applyFill="1" applyBorder="1" applyAlignment="1">
      <alignment wrapText="1"/>
    </xf>
    <xf numFmtId="0" fontId="35" fillId="11" borderId="43" xfId="0" applyFont="1" applyFill="1" applyBorder="1" applyAlignment="1">
      <alignment wrapText="1"/>
    </xf>
    <xf numFmtId="0" fontId="35" fillId="11" borderId="41" xfId="0" applyFont="1" applyFill="1" applyBorder="1" applyAlignment="1">
      <alignment wrapText="1"/>
    </xf>
    <xf numFmtId="0" fontId="29" fillId="11" borderId="42" xfId="0" applyFont="1" applyFill="1" applyBorder="1" applyAlignment="1">
      <alignment wrapText="1"/>
    </xf>
    <xf numFmtId="0" fontId="29" fillId="11" borderId="35" xfId="0" applyFont="1" applyFill="1" applyBorder="1" applyAlignment="1">
      <alignment wrapText="1"/>
    </xf>
    <xf numFmtId="0" fontId="29" fillId="11" borderId="36" xfId="0" applyFont="1" applyFill="1" applyBorder="1" applyAlignment="1">
      <alignment wrapText="1"/>
    </xf>
    <xf numFmtId="0" fontId="29" fillId="11" borderId="0" xfId="0" applyFont="1" applyFill="1" applyAlignment="1">
      <alignment wrapText="1"/>
    </xf>
    <xf numFmtId="0" fontId="29" fillId="11" borderId="37" xfId="0" applyFont="1" applyFill="1" applyBorder="1" applyAlignment="1">
      <alignment wrapText="1"/>
    </xf>
    <xf numFmtId="0" fontId="36" fillId="11" borderId="32" xfId="0" applyFont="1" applyFill="1" applyBorder="1" applyAlignment="1">
      <alignment wrapText="1"/>
    </xf>
    <xf numFmtId="40" fontId="9" fillId="0" borderId="0" xfId="1" applyNumberFormat="1" applyFont="1" applyFill="1" applyBorder="1" applyAlignment="1"/>
    <xf numFmtId="0" fontId="17" fillId="0" borderId="0" xfId="10" applyFill="1" applyBorder="1" applyAlignment="1">
      <alignment horizontal="right" vertical="center"/>
    </xf>
    <xf numFmtId="9" fontId="0" fillId="2" borderId="0" xfId="3" applyFont="1" applyFill="1" applyBorder="1" applyAlignment="1"/>
    <xf numFmtId="0" fontId="0" fillId="8" borderId="11" xfId="0" applyFill="1" applyBorder="1"/>
    <xf numFmtId="0" fontId="0" fillId="8" borderId="10" xfId="0" applyFill="1" applyBorder="1"/>
    <xf numFmtId="0" fontId="19" fillId="8" borderId="10" xfId="11" applyFill="1" applyBorder="1"/>
    <xf numFmtId="0" fontId="0" fillId="8" borderId="0" xfId="0" applyFill="1"/>
    <xf numFmtId="0" fontId="0" fillId="8" borderId="9" xfId="0" applyFill="1" applyBorder="1"/>
    <xf numFmtId="0" fontId="19" fillId="8" borderId="0" xfId="11" applyFill="1"/>
    <xf numFmtId="0" fontId="20" fillId="8" borderId="0" xfId="11" applyFont="1" applyFill="1"/>
    <xf numFmtId="0" fontId="37" fillId="7" borderId="0" xfId="10" applyFont="1" applyFill="1" applyBorder="1" applyAlignment="1">
      <alignment horizontal="right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40" fontId="9" fillId="12" borderId="0" xfId="1" applyNumberFormat="1" applyFont="1" applyFill="1" applyBorder="1" applyAlignment="1"/>
    <xf numFmtId="9" fontId="9" fillId="12" borderId="0" xfId="3" applyFont="1" applyFill="1" applyBorder="1" applyAlignment="1"/>
    <xf numFmtId="0" fontId="0" fillId="0" borderId="47" xfId="0" applyBorder="1"/>
    <xf numFmtId="0" fontId="0" fillId="0" borderId="48" xfId="0" applyBorder="1"/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2" fillId="7" borderId="47" xfId="0" applyFont="1" applyFill="1" applyBorder="1" applyAlignment="1">
      <alignment horizontal="center" vertical="center"/>
    </xf>
    <xf numFmtId="0" fontId="37" fillId="7" borderId="48" xfId="10" applyFont="1" applyFill="1" applyBorder="1" applyAlignment="1">
      <alignment horizontal="right" vertical="center"/>
    </xf>
    <xf numFmtId="0" fontId="0" fillId="5" borderId="54" xfId="0" applyFill="1" applyBorder="1" applyAlignment="1">
      <alignment horizontal="right"/>
    </xf>
    <xf numFmtId="0" fontId="0" fillId="0" borderId="47" xfId="0" applyBorder="1" applyAlignment="1">
      <alignment horizontal="right"/>
    </xf>
    <xf numFmtId="0" fontId="0" fillId="5" borderId="47" xfId="0" applyFill="1" applyBorder="1" applyAlignment="1">
      <alignment horizontal="right"/>
    </xf>
    <xf numFmtId="0" fontId="3" fillId="4" borderId="56" xfId="0" applyFont="1" applyFill="1" applyBorder="1" applyAlignment="1">
      <alignment horizontal="right"/>
    </xf>
    <xf numFmtId="0" fontId="10" fillId="0" borderId="48" xfId="0" applyFont="1" applyBorder="1" applyAlignment="1">
      <alignment horizontal="center" vertical="center"/>
    </xf>
    <xf numFmtId="9" fontId="0" fillId="2" borderId="48" xfId="3" applyFont="1" applyFill="1" applyBorder="1" applyAlignment="1"/>
    <xf numFmtId="0" fontId="14" fillId="12" borderId="47" xfId="0" applyFont="1" applyFill="1" applyBorder="1" applyAlignment="1">
      <alignment horizontal="right"/>
    </xf>
    <xf numFmtId="9" fontId="3" fillId="12" borderId="48" xfId="3" applyFont="1" applyFill="1" applyBorder="1" applyAlignment="1"/>
    <xf numFmtId="0" fontId="14" fillId="0" borderId="47" xfId="0" applyFont="1" applyBorder="1" applyAlignment="1">
      <alignment horizontal="right"/>
    </xf>
    <xf numFmtId="9" fontId="3" fillId="0" borderId="48" xfId="3" applyFont="1" applyFill="1" applyBorder="1" applyAlignment="1"/>
    <xf numFmtId="0" fontId="14" fillId="12" borderId="56" xfId="0" applyFont="1" applyFill="1" applyBorder="1" applyAlignment="1">
      <alignment horizontal="right"/>
    </xf>
    <xf numFmtId="0" fontId="2" fillId="7" borderId="54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right"/>
    </xf>
    <xf numFmtId="44" fontId="0" fillId="0" borderId="48" xfId="2" applyFont="1" applyBorder="1"/>
    <xf numFmtId="0" fontId="15" fillId="12" borderId="47" xfId="0" applyFont="1" applyFill="1" applyBorder="1" applyAlignment="1">
      <alignment horizontal="right"/>
    </xf>
    <xf numFmtId="0" fontId="16" fillId="0" borderId="47" xfId="0" applyFont="1" applyBorder="1" applyAlignment="1">
      <alignment horizontal="left"/>
    </xf>
    <xf numFmtId="0" fontId="15" fillId="0" borderId="47" xfId="0" applyFont="1" applyBorder="1" applyAlignment="1">
      <alignment horizontal="right"/>
    </xf>
    <xf numFmtId="0" fontId="2" fillId="7" borderId="61" xfId="0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/>
    </xf>
    <xf numFmtId="4" fontId="3" fillId="3" borderId="48" xfId="0" applyNumberFormat="1" applyFont="1" applyFill="1" applyBorder="1" applyAlignment="1">
      <alignment horizontal="right" vertical="center"/>
    </xf>
    <xf numFmtId="0" fontId="14" fillId="3" borderId="47" xfId="0" applyFont="1" applyFill="1" applyBorder="1" applyAlignment="1">
      <alignment horizontal="left" vertical="center"/>
    </xf>
    <xf numFmtId="166" fontId="17" fillId="0" borderId="0" xfId="10" applyNumberFormat="1" applyFill="1" applyBorder="1" applyAlignment="1">
      <alignment horizontal="right" vertical="center"/>
    </xf>
    <xf numFmtId="43" fontId="0" fillId="2" borderId="0" xfId="1" applyFont="1" applyFill="1" applyBorder="1" applyAlignment="1"/>
    <xf numFmtId="43" fontId="9" fillId="12" borderId="0" xfId="1" applyFont="1" applyFill="1" applyBorder="1" applyAlignment="1"/>
    <xf numFmtId="43" fontId="13" fillId="0" borderId="3" xfId="1" applyFont="1" applyBorder="1" applyAlignment="1">
      <alignment horizontal="center"/>
    </xf>
    <xf numFmtId="43" fontId="11" fillId="0" borderId="3" xfId="1" applyFont="1" applyBorder="1" applyAlignment="1">
      <alignment horizontal="center"/>
    </xf>
    <xf numFmtId="43" fontId="13" fillId="0" borderId="55" xfId="1" applyFont="1" applyBorder="1" applyAlignment="1">
      <alignment horizontal="center"/>
    </xf>
    <xf numFmtId="43" fontId="13" fillId="0" borderId="48" xfId="1" applyFont="1" applyBorder="1" applyAlignment="1">
      <alignment horizontal="center"/>
    </xf>
    <xf numFmtId="43" fontId="11" fillId="0" borderId="48" xfId="1" applyFont="1" applyBorder="1" applyAlignment="1">
      <alignment horizontal="center"/>
    </xf>
    <xf numFmtId="43" fontId="7" fillId="0" borderId="0" xfId="1" applyFont="1" applyFill="1" applyBorder="1" applyAlignment="1"/>
    <xf numFmtId="43" fontId="0" fillId="0" borderId="0" xfId="1" applyFont="1" applyFill="1" applyBorder="1" applyAlignment="1"/>
    <xf numFmtId="43" fontId="3" fillId="12" borderId="57" xfId="1" applyFont="1" applyFill="1" applyBorder="1" applyAlignment="1"/>
    <xf numFmtId="43" fontId="0" fillId="5" borderId="8" xfId="1" applyFont="1" applyFill="1" applyBorder="1"/>
    <xf numFmtId="43" fontId="0" fillId="5" borderId="55" xfId="1" applyFont="1" applyFill="1" applyBorder="1"/>
    <xf numFmtId="43" fontId="0" fillId="2" borderId="0" xfId="1" applyFont="1" applyFill="1" applyBorder="1"/>
    <xf numFmtId="43" fontId="0" fillId="2" borderId="48" xfId="1" applyFont="1" applyFill="1" applyBorder="1"/>
    <xf numFmtId="43" fontId="0" fillId="5" borderId="0" xfId="1" applyFont="1" applyFill="1" applyBorder="1"/>
    <xf numFmtId="43" fontId="0" fillId="5" borderId="48" xfId="1" applyFont="1" applyFill="1" applyBorder="1"/>
    <xf numFmtId="43" fontId="0" fillId="4" borderId="57" xfId="1" applyFont="1" applyFill="1" applyBorder="1"/>
    <xf numFmtId="43" fontId="0" fillId="4" borderId="58" xfId="1" applyFont="1" applyFill="1" applyBorder="1"/>
    <xf numFmtId="43" fontId="7" fillId="2" borderId="0" xfId="1" applyFont="1" applyFill="1" applyBorder="1" applyAlignment="1"/>
    <xf numFmtId="43" fontId="0" fillId="0" borderId="0" xfId="1" applyFont="1" applyBorder="1"/>
    <xf numFmtId="43" fontId="0" fillId="0" borderId="0" xfId="1" applyFont="1" applyFill="1" applyBorder="1"/>
    <xf numFmtId="43" fontId="0" fillId="0" borderId="3" xfId="1" applyFont="1" applyBorder="1"/>
    <xf numFmtId="43" fontId="0" fillId="0" borderId="48" xfId="1" applyFont="1" applyBorder="1"/>
    <xf numFmtId="43" fontId="0" fillId="0" borderId="3" xfId="1" applyFont="1" applyFill="1" applyBorder="1" applyAlignment="1">
      <alignment horizontal="center"/>
    </xf>
    <xf numFmtId="9" fontId="3" fillId="12" borderId="65" xfId="3" applyFont="1" applyFill="1" applyBorder="1" applyAlignment="1"/>
    <xf numFmtId="9" fontId="3" fillId="12" borderId="64" xfId="3" applyFont="1" applyFill="1" applyBorder="1" applyAlignment="1"/>
    <xf numFmtId="9" fontId="3" fillId="12" borderId="0" xfId="3" applyFont="1" applyFill="1" applyBorder="1" applyAlignment="1"/>
    <xf numFmtId="43" fontId="13" fillId="0" borderId="0" xfId="1" applyFont="1" applyFill="1" applyBorder="1"/>
    <xf numFmtId="43" fontId="3" fillId="0" borderId="48" xfId="1" applyFont="1" applyFill="1" applyBorder="1"/>
    <xf numFmtId="43" fontId="0" fillId="0" borderId="48" xfId="1" applyFont="1" applyFill="1" applyBorder="1"/>
    <xf numFmtId="44" fontId="0" fillId="0" borderId="0" xfId="2" applyFont="1" applyFill="1" applyBorder="1" applyAlignment="1"/>
    <xf numFmtId="44" fontId="13" fillId="0" borderId="0" xfId="2" applyFont="1" applyFill="1" applyBorder="1" applyAlignment="1"/>
    <xf numFmtId="0" fontId="4" fillId="0" borderId="67" xfId="0" applyFont="1" applyBorder="1"/>
    <xf numFmtId="0" fontId="4" fillId="0" borderId="48" xfId="0" applyFont="1" applyBorder="1"/>
    <xf numFmtId="0" fontId="4" fillId="0" borderId="68" xfId="0" applyFont="1" applyBorder="1"/>
    <xf numFmtId="0" fontId="10" fillId="3" borderId="44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/>
    </xf>
    <xf numFmtId="0" fontId="10" fillId="3" borderId="46" xfId="0" applyFont="1" applyFill="1" applyBorder="1" applyAlignment="1">
      <alignment horizontal="center" vertical="center"/>
    </xf>
    <xf numFmtId="43" fontId="3" fillId="0" borderId="63" xfId="1" applyFont="1" applyFill="1" applyBorder="1"/>
    <xf numFmtId="9" fontId="3" fillId="2" borderId="48" xfId="3" applyFont="1" applyFill="1" applyBorder="1" applyAlignment="1"/>
    <xf numFmtId="40" fontId="7" fillId="2" borderId="0" xfId="1" applyNumberFormat="1" applyFont="1" applyFill="1" applyBorder="1" applyAlignment="1"/>
    <xf numFmtId="9" fontId="7" fillId="2" borderId="0" xfId="3" applyFont="1" applyFill="1" applyBorder="1" applyAlignment="1"/>
    <xf numFmtId="43" fontId="0" fillId="0" borderId="63" xfId="1" applyFont="1" applyBorder="1"/>
    <xf numFmtId="0" fontId="15" fillId="0" borderId="0" xfId="0" applyFont="1" applyAlignment="1">
      <alignment horizontal="right"/>
    </xf>
    <xf numFmtId="43" fontId="3" fillId="0" borderId="0" xfId="1" applyFont="1" applyFill="1" applyBorder="1"/>
    <xf numFmtId="0" fontId="15" fillId="12" borderId="0" xfId="0" applyFont="1" applyFill="1" applyAlignment="1">
      <alignment horizontal="right"/>
    </xf>
    <xf numFmtId="44" fontId="15" fillId="12" borderId="4" xfId="0" applyNumberFormat="1" applyFont="1" applyFill="1" applyBorder="1" applyAlignment="1">
      <alignment horizontal="right"/>
    </xf>
    <xf numFmtId="44" fontId="0" fillId="0" borderId="3" xfId="9" applyFont="1" applyFill="1" applyBorder="1" applyAlignment="1">
      <alignment horizontal="center"/>
    </xf>
    <xf numFmtId="43" fontId="3" fillId="12" borderId="63" xfId="1" applyFont="1" applyFill="1" applyBorder="1"/>
    <xf numFmtId="44" fontId="0" fillId="0" borderId="63" xfId="9" applyFont="1" applyFill="1" applyBorder="1" applyAlignment="1">
      <alignment vertical="center"/>
    </xf>
    <xf numFmtId="43" fontId="1" fillId="0" borderId="63" xfId="1" applyFont="1" applyFill="1" applyBorder="1"/>
    <xf numFmtId="43" fontId="3" fillId="12" borderId="0" xfId="1" applyFont="1" applyFill="1" applyBorder="1"/>
    <xf numFmtId="43" fontId="0" fillId="0" borderId="63" xfId="1" applyFont="1" applyBorder="1" applyAlignment="1"/>
    <xf numFmtId="0" fontId="14" fillId="0" borderId="0" xfId="0" applyFont="1" applyAlignment="1">
      <alignment horizontal="right"/>
    </xf>
    <xf numFmtId="43" fontId="3" fillId="0" borderId="0" xfId="1" applyFont="1" applyFill="1" applyBorder="1" applyAlignment="1"/>
    <xf numFmtId="9" fontId="3" fillId="0" borderId="0" xfId="3" applyFont="1" applyFill="1" applyBorder="1" applyAlignment="1"/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0" fontId="0" fillId="3" borderId="0" xfId="0" applyFill="1"/>
    <xf numFmtId="43" fontId="9" fillId="0" borderId="0" xfId="1" applyFont="1" applyFill="1" applyBorder="1" applyAlignment="1"/>
    <xf numFmtId="0" fontId="12" fillId="0" borderId="71" xfId="0" applyFont="1" applyBorder="1" applyAlignment="1">
      <alignment horizontal="left"/>
    </xf>
    <xf numFmtId="164" fontId="38" fillId="2" borderId="64" xfId="2" applyNumberFormat="1" applyFont="1" applyFill="1" applyBorder="1"/>
    <xf numFmtId="0" fontId="12" fillId="0" borderId="72" xfId="0" applyFont="1" applyBorder="1"/>
    <xf numFmtId="164" fontId="38" fillId="2" borderId="73" xfId="2" applyNumberFormat="1" applyFont="1" applyFill="1" applyBorder="1"/>
    <xf numFmtId="0" fontId="15" fillId="13" borderId="59" xfId="0" applyFont="1" applyFill="1" applyBorder="1" applyAlignment="1">
      <alignment horizontal="right"/>
    </xf>
    <xf numFmtId="44" fontId="15" fillId="13" borderId="2" xfId="0" applyNumberFormat="1" applyFont="1" applyFill="1" applyBorder="1" applyAlignment="1">
      <alignment horizontal="right"/>
    </xf>
    <xf numFmtId="165" fontId="3" fillId="13" borderId="62" xfId="0" applyNumberFormat="1" applyFont="1" applyFill="1" applyBorder="1"/>
    <xf numFmtId="43" fontId="3" fillId="13" borderId="60" xfId="1" applyFont="1" applyFill="1" applyBorder="1"/>
    <xf numFmtId="0" fontId="4" fillId="0" borderId="45" xfId="0" applyFont="1" applyBorder="1"/>
    <xf numFmtId="0" fontId="18" fillId="0" borderId="0" xfId="0" applyFont="1" applyAlignment="1">
      <alignment horizontal="center"/>
    </xf>
    <xf numFmtId="0" fontId="0" fillId="0" borderId="76" xfId="0" applyBorder="1"/>
    <xf numFmtId="43" fontId="0" fillId="0" borderId="76" xfId="0" applyNumberFormat="1" applyBorder="1"/>
    <xf numFmtId="0" fontId="3" fillId="0" borderId="76" xfId="0" applyFont="1" applyBorder="1" applyAlignment="1">
      <alignment horizontal="left"/>
    </xf>
    <xf numFmtId="0" fontId="3" fillId="0" borderId="76" xfId="0" applyFont="1" applyBorder="1" applyAlignment="1">
      <alignment horizontal="center"/>
    </xf>
    <xf numFmtId="0" fontId="4" fillId="0" borderId="76" xfId="0" applyFont="1" applyBorder="1"/>
    <xf numFmtId="0" fontId="18" fillId="0" borderId="68" xfId="0" applyFont="1" applyBorder="1" applyAlignment="1">
      <alignment horizontal="center"/>
    </xf>
    <xf numFmtId="0" fontId="4" fillId="0" borderId="77" xfId="0" applyFont="1" applyBorder="1"/>
    <xf numFmtId="0" fontId="0" fillId="0" borderId="68" xfId="0" applyBorder="1"/>
    <xf numFmtId="0" fontId="18" fillId="0" borderId="78" xfId="0" applyFont="1" applyBorder="1" applyAlignment="1">
      <alignment horizontal="center"/>
    </xf>
    <xf numFmtId="0" fontId="4" fillId="0" borderId="70" xfId="0" applyFont="1" applyBorder="1"/>
    <xf numFmtId="0" fontId="0" fillId="0" borderId="70" xfId="0" applyBorder="1"/>
    <xf numFmtId="0" fontId="10" fillId="0" borderId="70" xfId="0" applyFont="1" applyBorder="1" applyAlignment="1">
      <alignment horizontal="center" vertical="center"/>
    </xf>
    <xf numFmtId="0" fontId="4" fillId="0" borderId="79" xfId="0" applyFont="1" applyBorder="1"/>
    <xf numFmtId="0" fontId="3" fillId="13" borderId="59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13" borderId="60" xfId="0" applyFont="1" applyFill="1" applyBorder="1" applyAlignment="1">
      <alignment horizontal="center"/>
    </xf>
    <xf numFmtId="0" fontId="3" fillId="13" borderId="69" xfId="0" applyFont="1" applyFill="1" applyBorder="1" applyAlignment="1">
      <alignment horizontal="center"/>
    </xf>
    <xf numFmtId="0" fontId="10" fillId="3" borderId="59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0" xfId="0" applyFont="1" applyFill="1" applyBorder="1" applyAlignment="1">
      <alignment horizontal="center" vertical="center"/>
    </xf>
    <xf numFmtId="0" fontId="10" fillId="3" borderId="44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/>
    </xf>
    <xf numFmtId="0" fontId="10" fillId="3" borderId="46" xfId="0" applyFont="1" applyFill="1" applyBorder="1" applyAlignment="1">
      <alignment horizontal="center" vertical="center"/>
    </xf>
    <xf numFmtId="0" fontId="21" fillId="8" borderId="0" xfId="11" applyFont="1" applyFill="1" applyAlignment="1">
      <alignment horizontal="center"/>
    </xf>
    <xf numFmtId="0" fontId="20" fillId="8" borderId="0" xfId="11" applyFont="1" applyFill="1" applyAlignment="1">
      <alignment horizontal="center"/>
    </xf>
    <xf numFmtId="0" fontId="0" fillId="8" borderId="0" xfId="0" applyFill="1" applyAlignment="1">
      <alignment horizontal="center"/>
    </xf>
    <xf numFmtId="0" fontId="18" fillId="6" borderId="74" xfId="0" applyFont="1" applyFill="1" applyBorder="1" applyAlignment="1">
      <alignment horizontal="center"/>
    </xf>
    <xf numFmtId="0" fontId="18" fillId="6" borderId="66" xfId="0" applyFont="1" applyFill="1" applyBorder="1" applyAlignment="1">
      <alignment horizontal="center"/>
    </xf>
    <xf numFmtId="0" fontId="18" fillId="6" borderId="75" xfId="0" applyFont="1" applyFill="1" applyBorder="1" applyAlignment="1">
      <alignment horizontal="center"/>
    </xf>
    <xf numFmtId="0" fontId="2" fillId="7" borderId="54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55" xfId="0" applyFont="1" applyFill="1" applyBorder="1" applyAlignment="1">
      <alignment horizontal="center" vertical="center"/>
    </xf>
    <xf numFmtId="0" fontId="3" fillId="13" borderId="59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60" xfId="0" applyFont="1" applyFill="1" applyBorder="1" applyAlignment="1">
      <alignment horizontal="center" vertical="center"/>
    </xf>
    <xf numFmtId="0" fontId="25" fillId="9" borderId="13" xfId="0" applyFont="1" applyFill="1" applyBorder="1" applyAlignment="1">
      <alignment horizontal="center" vertical="center"/>
    </xf>
    <xf numFmtId="0" fontId="25" fillId="9" borderId="14" xfId="0" applyFont="1" applyFill="1" applyBorder="1" applyAlignment="1">
      <alignment horizontal="center" vertical="center"/>
    </xf>
    <xf numFmtId="0" fontId="22" fillId="8" borderId="0" xfId="0" applyFont="1" applyFill="1" applyAlignment="1">
      <alignment horizontal="center" vertical="top"/>
    </xf>
    <xf numFmtId="0" fontId="23" fillId="8" borderId="0" xfId="0" applyFont="1" applyFill="1" applyAlignment="1">
      <alignment horizontal="center" vertical="top"/>
    </xf>
    <xf numFmtId="0" fontId="24" fillId="8" borderId="0" xfId="0" applyFont="1" applyFill="1" applyAlignment="1">
      <alignment horizontal="center" vertical="top"/>
    </xf>
  </cellXfs>
  <cellStyles count="12">
    <cellStyle name="Hiperlink" xfId="10" builtinId="8"/>
    <cellStyle name="Moeda" xfId="2" builtinId="4"/>
    <cellStyle name="Moeda 2" xfId="9" xr:uid="{3FC244FF-B50D-4133-94F3-DA5524B68B0F}"/>
    <cellStyle name="Normal" xfId="0" builtinId="0"/>
    <cellStyle name="Normal 2" xfId="4" xr:uid="{0DB28A79-74B5-45E2-8B78-CF118CA7A2AD}"/>
    <cellStyle name="Normal 2 10" xfId="6" xr:uid="{4131480A-4987-4D0D-AE24-3C5FC668E8F7}"/>
    <cellStyle name="Normal 2 2" xfId="11" xr:uid="{05D7F526-89C1-4345-8082-4C4E900747AB}"/>
    <cellStyle name="Normal 71" xfId="5" xr:uid="{E8C934C3-E843-48AA-A4C9-965D71AE9227}"/>
    <cellStyle name="Porcentagem" xfId="3" builtinId="5"/>
    <cellStyle name="Separador de milhares 7" xfId="7" xr:uid="{ED020937-33B3-497A-AF51-7E2EECBFE475}"/>
    <cellStyle name="Vírgula" xfId="1" builtinId="3"/>
    <cellStyle name="Vírgula 2" xfId="8" xr:uid="{8BF9E9E3-5821-4E7A-A061-2A3D80E65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onfrontos Federais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Acomp.Resultado_2023!A1"/><Relationship Id="rId2" Type="http://schemas.openxmlformats.org/officeDocument/2006/relationships/hyperlink" Target="#Instru&#231;&#245;es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1077166</xdr:colOff>
      <xdr:row>40</xdr:row>
      <xdr:rowOff>44824</xdr:rowOff>
    </xdr:from>
    <xdr:to>
      <xdr:col>15</xdr:col>
      <xdr:colOff>94550</xdr:colOff>
      <xdr:row>40</xdr:row>
      <xdr:rowOff>179294</xdr:rowOff>
    </xdr:to>
    <xdr:sp macro="" textlink="">
      <xdr:nvSpPr>
        <xdr:cNvPr id="3" name="Seta para a Direita 6">
          <a:extLst>
            <a:ext uri="{FF2B5EF4-FFF2-40B4-BE49-F238E27FC236}">
              <a16:creationId xmlns:a16="http://schemas.microsoft.com/office/drawing/2014/main" id="{19B33C34-BEF2-4F8C-B6C3-07C781D60A35}"/>
            </a:ext>
          </a:extLst>
        </xdr:cNvPr>
        <xdr:cNvSpPr/>
      </xdr:nvSpPr>
      <xdr:spPr>
        <a:xfrm flipV="1">
          <a:off x="13200586" y="5531224"/>
          <a:ext cx="769984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1077166</xdr:colOff>
      <xdr:row>41</xdr:row>
      <xdr:rowOff>44824</xdr:rowOff>
    </xdr:from>
    <xdr:to>
      <xdr:col>15</xdr:col>
      <xdr:colOff>94550</xdr:colOff>
      <xdr:row>41</xdr:row>
      <xdr:rowOff>179294</xdr:rowOff>
    </xdr:to>
    <xdr:sp macro="" textlink="">
      <xdr:nvSpPr>
        <xdr:cNvPr id="4" name="Seta para a Direita 6">
          <a:extLst>
            <a:ext uri="{FF2B5EF4-FFF2-40B4-BE49-F238E27FC236}">
              <a16:creationId xmlns:a16="http://schemas.microsoft.com/office/drawing/2014/main" id="{42BD2B7D-E8FE-491B-B5E4-E77D20F797D5}"/>
            </a:ext>
          </a:extLst>
        </xdr:cNvPr>
        <xdr:cNvSpPr/>
      </xdr:nvSpPr>
      <xdr:spPr>
        <a:xfrm flipV="1">
          <a:off x="13200586" y="5714104"/>
          <a:ext cx="769984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108857</xdr:colOff>
      <xdr:row>2</xdr:row>
      <xdr:rowOff>43543</xdr:rowOff>
    </xdr:from>
    <xdr:to>
      <xdr:col>16</xdr:col>
      <xdr:colOff>18506</xdr:colOff>
      <xdr:row>6</xdr:row>
      <xdr:rowOff>108857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C2470-C405-43B7-9E31-14AE80B9B3F4}"/>
            </a:ext>
          </a:extLst>
        </xdr:cNvPr>
        <xdr:cNvSpPr/>
      </xdr:nvSpPr>
      <xdr:spPr>
        <a:xfrm>
          <a:off x="16187057" y="592183"/>
          <a:ext cx="1791789" cy="796834"/>
        </a:xfrm>
        <a:prstGeom prst="rect">
          <a:avLst/>
        </a:prstGeom>
        <a:solidFill>
          <a:schemeClr val="tx2">
            <a:lumMod val="75000"/>
          </a:schemeClr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CONFRONTOS FEDERAIS</a:t>
          </a:r>
        </a:p>
      </xdr:txBody>
    </xdr:sp>
    <xdr:clientData/>
  </xdr:twoCellAnchor>
  <xdr:twoCellAnchor editAs="oneCell">
    <xdr:from>
      <xdr:col>2</xdr:col>
      <xdr:colOff>10584</xdr:colOff>
      <xdr:row>2</xdr:row>
      <xdr:rowOff>95251</xdr:rowOff>
    </xdr:from>
    <xdr:to>
      <xdr:col>2</xdr:col>
      <xdr:colOff>2529924</xdr:colOff>
      <xdr:row>7</xdr:row>
      <xdr:rowOff>74084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4469E0F-098B-47B2-AAA4-A09CC689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1" y="677334"/>
          <a:ext cx="2519340" cy="1111250"/>
        </a:xfrm>
        <a:prstGeom prst="rect">
          <a:avLst/>
        </a:prstGeom>
        <a:noFill/>
      </xdr:spPr>
    </xdr:pic>
    <xdr:clientData/>
  </xdr:twoCellAnchor>
  <xdr:twoCellAnchor>
    <xdr:from>
      <xdr:col>14</xdr:col>
      <xdr:colOff>1077166</xdr:colOff>
      <xdr:row>90</xdr:row>
      <xdr:rowOff>44824</xdr:rowOff>
    </xdr:from>
    <xdr:to>
      <xdr:col>15</xdr:col>
      <xdr:colOff>94550</xdr:colOff>
      <xdr:row>90</xdr:row>
      <xdr:rowOff>179294</xdr:rowOff>
    </xdr:to>
    <xdr:sp macro="" textlink="">
      <xdr:nvSpPr>
        <xdr:cNvPr id="12" name="Seta para a Direita 6">
          <a:extLst>
            <a:ext uri="{FF2B5EF4-FFF2-40B4-BE49-F238E27FC236}">
              <a16:creationId xmlns:a16="http://schemas.microsoft.com/office/drawing/2014/main" id="{6D0C67C4-FE66-44C2-99C0-5FC052A9BBBB}"/>
            </a:ext>
          </a:extLst>
        </xdr:cNvPr>
        <xdr:cNvSpPr/>
      </xdr:nvSpPr>
      <xdr:spPr>
        <a:xfrm flipV="1">
          <a:off x="15955216" y="7445749"/>
          <a:ext cx="1217659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1077166</xdr:colOff>
      <xdr:row>91</xdr:row>
      <xdr:rowOff>44824</xdr:rowOff>
    </xdr:from>
    <xdr:to>
      <xdr:col>15</xdr:col>
      <xdr:colOff>94550</xdr:colOff>
      <xdr:row>91</xdr:row>
      <xdr:rowOff>179294</xdr:rowOff>
    </xdr:to>
    <xdr:sp macro="" textlink="">
      <xdr:nvSpPr>
        <xdr:cNvPr id="13" name="Seta para a Direita 6">
          <a:extLst>
            <a:ext uri="{FF2B5EF4-FFF2-40B4-BE49-F238E27FC236}">
              <a16:creationId xmlns:a16="http://schemas.microsoft.com/office/drawing/2014/main" id="{B0B123A8-82EF-4FB2-AB91-6A22A017598B}"/>
            </a:ext>
          </a:extLst>
        </xdr:cNvPr>
        <xdr:cNvSpPr/>
      </xdr:nvSpPr>
      <xdr:spPr>
        <a:xfrm flipV="1">
          <a:off x="15955216" y="7626724"/>
          <a:ext cx="1217659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1077166</xdr:colOff>
      <xdr:row>140</xdr:row>
      <xdr:rowOff>44824</xdr:rowOff>
    </xdr:from>
    <xdr:to>
      <xdr:col>15</xdr:col>
      <xdr:colOff>94550</xdr:colOff>
      <xdr:row>140</xdr:row>
      <xdr:rowOff>179294</xdr:rowOff>
    </xdr:to>
    <xdr:sp macro="" textlink="">
      <xdr:nvSpPr>
        <xdr:cNvPr id="14" name="Seta para a Direita 6">
          <a:extLst>
            <a:ext uri="{FF2B5EF4-FFF2-40B4-BE49-F238E27FC236}">
              <a16:creationId xmlns:a16="http://schemas.microsoft.com/office/drawing/2014/main" id="{79138FFD-56F3-4C4E-AA21-D94188296C65}"/>
            </a:ext>
          </a:extLst>
        </xdr:cNvPr>
        <xdr:cNvSpPr/>
      </xdr:nvSpPr>
      <xdr:spPr>
        <a:xfrm flipV="1">
          <a:off x="15955216" y="16580224"/>
          <a:ext cx="1217659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1077166</xdr:colOff>
      <xdr:row>141</xdr:row>
      <xdr:rowOff>44824</xdr:rowOff>
    </xdr:from>
    <xdr:to>
      <xdr:col>15</xdr:col>
      <xdr:colOff>94550</xdr:colOff>
      <xdr:row>141</xdr:row>
      <xdr:rowOff>179294</xdr:rowOff>
    </xdr:to>
    <xdr:sp macro="" textlink="">
      <xdr:nvSpPr>
        <xdr:cNvPr id="15" name="Seta para a Direita 6">
          <a:extLst>
            <a:ext uri="{FF2B5EF4-FFF2-40B4-BE49-F238E27FC236}">
              <a16:creationId xmlns:a16="http://schemas.microsoft.com/office/drawing/2014/main" id="{DCF5E398-CEA8-4AF6-9FAE-581CFACA3663}"/>
            </a:ext>
          </a:extLst>
        </xdr:cNvPr>
        <xdr:cNvSpPr/>
      </xdr:nvSpPr>
      <xdr:spPr>
        <a:xfrm flipV="1">
          <a:off x="15955216" y="16761199"/>
          <a:ext cx="1217659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1077166</xdr:colOff>
      <xdr:row>190</xdr:row>
      <xdr:rowOff>44824</xdr:rowOff>
    </xdr:from>
    <xdr:to>
      <xdr:col>15</xdr:col>
      <xdr:colOff>94550</xdr:colOff>
      <xdr:row>190</xdr:row>
      <xdr:rowOff>179294</xdr:rowOff>
    </xdr:to>
    <xdr:sp macro="" textlink="">
      <xdr:nvSpPr>
        <xdr:cNvPr id="16" name="Seta para a Direita 6">
          <a:extLst>
            <a:ext uri="{FF2B5EF4-FFF2-40B4-BE49-F238E27FC236}">
              <a16:creationId xmlns:a16="http://schemas.microsoft.com/office/drawing/2014/main" id="{F10F76CB-1334-4572-9F9C-CC40CDC54A86}"/>
            </a:ext>
          </a:extLst>
        </xdr:cNvPr>
        <xdr:cNvSpPr/>
      </xdr:nvSpPr>
      <xdr:spPr>
        <a:xfrm flipV="1">
          <a:off x="15955216" y="25628974"/>
          <a:ext cx="1217659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1077166</xdr:colOff>
      <xdr:row>191</xdr:row>
      <xdr:rowOff>44824</xdr:rowOff>
    </xdr:from>
    <xdr:to>
      <xdr:col>15</xdr:col>
      <xdr:colOff>94550</xdr:colOff>
      <xdr:row>191</xdr:row>
      <xdr:rowOff>179294</xdr:rowOff>
    </xdr:to>
    <xdr:sp macro="" textlink="">
      <xdr:nvSpPr>
        <xdr:cNvPr id="17" name="Seta para a Direita 6">
          <a:extLst>
            <a:ext uri="{FF2B5EF4-FFF2-40B4-BE49-F238E27FC236}">
              <a16:creationId xmlns:a16="http://schemas.microsoft.com/office/drawing/2014/main" id="{05C07818-2BF2-46B8-8140-3F569708CFE1}"/>
            </a:ext>
          </a:extLst>
        </xdr:cNvPr>
        <xdr:cNvSpPr/>
      </xdr:nvSpPr>
      <xdr:spPr>
        <a:xfrm flipV="1">
          <a:off x="15955216" y="25809949"/>
          <a:ext cx="1217659" cy="1344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107830</xdr:colOff>
      <xdr:row>2</xdr:row>
      <xdr:rowOff>17973</xdr:rowOff>
    </xdr:from>
    <xdr:to>
      <xdr:col>1</xdr:col>
      <xdr:colOff>1374835</xdr:colOff>
      <xdr:row>6</xdr:row>
      <xdr:rowOff>1624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AC1614-B10F-483A-9130-9C4DA174D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30" y="193233"/>
          <a:ext cx="1381305" cy="654211"/>
        </a:xfrm>
        <a:prstGeom prst="rect">
          <a:avLst/>
        </a:prstGeom>
        <a:noFill/>
      </xdr:spPr>
    </xdr:pic>
    <xdr:clientData/>
  </xdr:twoCellAnchor>
  <xdr:twoCellAnchor>
    <xdr:from>
      <xdr:col>13</xdr:col>
      <xdr:colOff>7620</xdr:colOff>
      <xdr:row>2</xdr:row>
      <xdr:rowOff>0</xdr:rowOff>
    </xdr:from>
    <xdr:to>
      <xdr:col>15</xdr:col>
      <xdr:colOff>472440</xdr:colOff>
      <xdr:row>4</xdr:row>
      <xdr:rowOff>15240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183C39-4A37-4340-85C4-E57BFEBEFB0B}"/>
            </a:ext>
          </a:extLst>
        </xdr:cNvPr>
        <xdr:cNvSpPr/>
      </xdr:nvSpPr>
      <xdr:spPr>
        <a:xfrm>
          <a:off x="11955780" y="175260"/>
          <a:ext cx="1684020" cy="411480"/>
        </a:xfrm>
        <a:prstGeom prst="rect">
          <a:avLst/>
        </a:prstGeom>
        <a:solidFill>
          <a:srgbClr val="002060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INSTRUÇÕES</a:t>
          </a:r>
        </a:p>
      </xdr:txBody>
    </xdr:sp>
    <xdr:clientData/>
  </xdr:twoCellAnchor>
  <xdr:twoCellAnchor>
    <xdr:from>
      <xdr:col>13</xdr:col>
      <xdr:colOff>0</xdr:colOff>
      <xdr:row>4</xdr:row>
      <xdr:rowOff>152400</xdr:rowOff>
    </xdr:from>
    <xdr:to>
      <xdr:col>15</xdr:col>
      <xdr:colOff>464820</xdr:colOff>
      <xdr:row>9</xdr:row>
      <xdr:rowOff>106680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63F7C25-4705-4152-A8B6-B7D7941FE033}"/>
            </a:ext>
          </a:extLst>
        </xdr:cNvPr>
        <xdr:cNvSpPr/>
      </xdr:nvSpPr>
      <xdr:spPr>
        <a:xfrm>
          <a:off x="11948160" y="723900"/>
          <a:ext cx="1684020" cy="571500"/>
        </a:xfrm>
        <a:prstGeom prst="rect">
          <a:avLst/>
        </a:prstGeom>
        <a:solidFill>
          <a:srgbClr val="002060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ACOMPANHAMENTO</a:t>
          </a:r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DE RESULTADO</a:t>
          </a:r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CF4C-5C68-47B9-B771-01B388A51591}">
  <sheetPr>
    <tabColor theme="4" tint="-0.499984740745262"/>
  </sheetPr>
  <dimension ref="A1:Q206"/>
  <sheetViews>
    <sheetView showGridLines="0" tabSelected="1" zoomScale="80" zoomScaleNormal="80" workbookViewId="0">
      <selection activeCell="E194" sqref="E194"/>
    </sheetView>
  </sheetViews>
  <sheetFormatPr defaultColWidth="8.88671875" defaultRowHeight="0" customHeight="1" zeroHeight="1" x14ac:dyDescent="0.3"/>
  <cols>
    <col min="1" max="1" width="3" style="1" customWidth="1"/>
    <col min="2" max="2" width="2.5546875" style="1" customWidth="1"/>
    <col min="3" max="3" width="46.88671875" customWidth="1"/>
    <col min="4" max="4" width="16.6640625" bestFit="1" customWidth="1"/>
    <col min="5" max="5" width="7.6640625" bestFit="1" customWidth="1"/>
    <col min="6" max="6" width="16.6640625" bestFit="1" customWidth="1"/>
    <col min="7" max="7" width="6.21875" customWidth="1"/>
    <col min="8" max="8" width="16.6640625" bestFit="1" customWidth="1"/>
    <col min="9" max="9" width="7.6640625" bestFit="1" customWidth="1"/>
    <col min="10" max="10" width="16" customWidth="1"/>
    <col min="11" max="11" width="6.5546875" bestFit="1" customWidth="1"/>
    <col min="12" max="12" width="3.44140625" customWidth="1"/>
    <col min="13" max="13" width="41.33203125" customWidth="1"/>
    <col min="14" max="14" width="25.5546875" customWidth="1"/>
    <col min="15" max="15" width="32.109375" bestFit="1" customWidth="1"/>
    <col min="16" max="16" width="27.44140625" customWidth="1"/>
    <col min="17" max="17" width="3.44140625" customWidth="1"/>
  </cols>
  <sheetData>
    <row r="1" spans="2:17" ht="14.4" x14ac:dyDescent="0.3"/>
    <row r="2" spans="2:17" ht="15.6" x14ac:dyDescent="0.3">
      <c r="B2" s="85"/>
      <c r="C2" s="86"/>
      <c r="D2" s="86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8"/>
    </row>
    <row r="3" spans="2:17" ht="15.6" x14ac:dyDescent="0.3">
      <c r="B3" s="89"/>
      <c r="C3" s="88"/>
      <c r="D3" s="88"/>
      <c r="E3" s="90"/>
      <c r="F3" s="90"/>
      <c r="G3" s="90"/>
      <c r="H3" s="223" t="s">
        <v>33</v>
      </c>
      <c r="I3" s="223"/>
      <c r="J3" s="223"/>
      <c r="K3" s="223"/>
      <c r="L3" s="223"/>
      <c r="M3" s="223"/>
      <c r="N3" s="223"/>
      <c r="O3" s="223"/>
      <c r="P3" s="90"/>
      <c r="Q3" s="88"/>
    </row>
    <row r="4" spans="2:17" ht="15.6" x14ac:dyDescent="0.3">
      <c r="B4" s="89"/>
      <c r="C4" s="88"/>
      <c r="D4" s="88"/>
      <c r="E4" s="90"/>
      <c r="F4" s="90"/>
      <c r="G4" s="90"/>
      <c r="H4" s="223"/>
      <c r="I4" s="223"/>
      <c r="J4" s="223"/>
      <c r="K4" s="223"/>
      <c r="L4" s="223"/>
      <c r="M4" s="223"/>
      <c r="N4" s="223"/>
      <c r="O4" s="223"/>
      <c r="P4" s="90"/>
      <c r="Q4" s="88"/>
    </row>
    <row r="5" spans="2:17" ht="18" x14ac:dyDescent="0.35">
      <c r="B5" s="89"/>
      <c r="C5" s="88"/>
      <c r="D5" s="88"/>
      <c r="E5" s="90"/>
      <c r="F5" s="90"/>
      <c r="G5" s="90"/>
      <c r="H5" s="91"/>
      <c r="I5" s="91"/>
      <c r="J5" s="91"/>
      <c r="K5" s="91"/>
      <c r="L5" s="91"/>
      <c r="M5" s="91"/>
      <c r="N5" s="91"/>
      <c r="O5" s="91"/>
      <c r="P5" s="90"/>
      <c r="Q5" s="88"/>
    </row>
    <row r="6" spans="2:17" ht="18" x14ac:dyDescent="0.35">
      <c r="B6" s="89"/>
      <c r="C6" s="88"/>
      <c r="D6" s="88"/>
      <c r="E6" s="90"/>
      <c r="F6" s="90"/>
      <c r="G6" s="90"/>
      <c r="H6" s="224" t="s">
        <v>67</v>
      </c>
      <c r="I6" s="224"/>
      <c r="J6" s="224"/>
      <c r="K6" s="224"/>
      <c r="L6" s="224"/>
      <c r="M6" s="224"/>
      <c r="N6" s="224"/>
      <c r="O6" s="224"/>
      <c r="P6" s="90"/>
      <c r="Q6" s="88"/>
    </row>
    <row r="7" spans="2:17" ht="18" x14ac:dyDescent="0.35">
      <c r="B7" s="89"/>
      <c r="C7" s="88"/>
      <c r="D7" s="88"/>
      <c r="E7" s="90"/>
      <c r="F7" s="90"/>
      <c r="G7" s="90"/>
      <c r="H7" s="224" t="s">
        <v>68</v>
      </c>
      <c r="I7" s="224"/>
      <c r="J7" s="224"/>
      <c r="K7" s="224"/>
      <c r="L7" s="224"/>
      <c r="M7" s="224"/>
      <c r="N7" s="224"/>
      <c r="O7" s="224"/>
      <c r="P7" s="90"/>
      <c r="Q7" s="88"/>
    </row>
    <row r="8" spans="2:17" ht="14.4" x14ac:dyDescent="0.3"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88"/>
    </row>
    <row r="9" spans="2:17" ht="14.4" x14ac:dyDescent="0.3"/>
    <row r="10" spans="2:17" ht="15.6" x14ac:dyDescent="0.3">
      <c r="B10" s="226" t="s">
        <v>32</v>
      </c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8"/>
    </row>
    <row r="11" spans="2:17" ht="15.6" x14ac:dyDescent="0.3">
      <c r="B11" s="160"/>
      <c r="D11" s="184"/>
      <c r="E11" s="184"/>
      <c r="F11" s="184"/>
      <c r="G11" s="184"/>
      <c r="H11" s="184"/>
      <c r="I11" s="184"/>
      <c r="J11" s="184"/>
      <c r="K11" s="184"/>
      <c r="L11" s="184"/>
      <c r="Q11" s="200"/>
    </row>
    <row r="12" spans="2:17" ht="15.6" x14ac:dyDescent="0.3">
      <c r="B12" s="160"/>
      <c r="C12" s="220" t="s">
        <v>31</v>
      </c>
      <c r="D12" s="221"/>
      <c r="E12" s="221"/>
      <c r="F12" s="221"/>
      <c r="G12" s="221"/>
      <c r="H12" s="221"/>
      <c r="I12" s="221"/>
      <c r="J12" s="221"/>
      <c r="K12" s="222"/>
      <c r="L12" s="184"/>
      <c r="M12" s="220" t="s">
        <v>30</v>
      </c>
      <c r="N12" s="221"/>
      <c r="O12" s="221"/>
      <c r="P12" s="222"/>
      <c r="Q12" s="200"/>
    </row>
    <row r="13" spans="2:17" ht="5.4" customHeight="1" x14ac:dyDescent="0.3">
      <c r="B13" s="160"/>
      <c r="C13" s="97"/>
      <c r="D13" s="184"/>
      <c r="E13" s="184"/>
      <c r="F13" s="184"/>
      <c r="G13" s="184"/>
      <c r="H13" s="184"/>
      <c r="I13" s="184"/>
      <c r="J13" s="184"/>
      <c r="K13" s="110"/>
      <c r="L13" s="184"/>
      <c r="M13" s="97"/>
      <c r="P13" s="98"/>
      <c r="Q13" s="200"/>
    </row>
    <row r="14" spans="2:17" ht="19.8" customHeight="1" thickBot="1" x14ac:dyDescent="0.35">
      <c r="B14" s="160"/>
      <c r="C14" s="97"/>
      <c r="D14" s="184"/>
      <c r="E14" s="184"/>
      <c r="F14" s="184"/>
      <c r="G14" s="184"/>
      <c r="H14" s="184"/>
      <c r="I14" s="184"/>
      <c r="J14" s="184"/>
      <c r="K14" s="110"/>
      <c r="L14" s="184"/>
      <c r="M14" s="233" t="s">
        <v>100</v>
      </c>
      <c r="N14" s="234"/>
      <c r="O14" s="234"/>
      <c r="P14" s="235"/>
      <c r="Q14" s="200"/>
    </row>
    <row r="15" spans="2:17" ht="15" thickTop="1" x14ac:dyDescent="0.3">
      <c r="B15" s="160"/>
      <c r="C15" s="104"/>
      <c r="D15" s="92" t="s">
        <v>0</v>
      </c>
      <c r="E15" s="92" t="s">
        <v>29</v>
      </c>
      <c r="F15" s="92" t="s">
        <v>1</v>
      </c>
      <c r="G15" s="92" t="s">
        <v>29</v>
      </c>
      <c r="H15" s="92" t="s">
        <v>2</v>
      </c>
      <c r="I15" s="92" t="s">
        <v>29</v>
      </c>
      <c r="J15" s="92" t="s">
        <v>64</v>
      </c>
      <c r="K15" s="105" t="s">
        <v>29</v>
      </c>
      <c r="L15" s="185"/>
      <c r="M15" s="229" t="s">
        <v>28</v>
      </c>
      <c r="N15" s="230"/>
      <c r="O15" s="231" t="s">
        <v>23</v>
      </c>
      <c r="P15" s="232"/>
      <c r="Q15" s="200"/>
    </row>
    <row r="16" spans="2:17" ht="5.4" customHeight="1" x14ac:dyDescent="0.3">
      <c r="B16" s="160">
        <v>994</v>
      </c>
      <c r="C16" s="107"/>
      <c r="D16" s="83"/>
      <c r="E16" s="83"/>
      <c r="F16" s="127"/>
      <c r="G16" s="83"/>
      <c r="H16" s="127"/>
      <c r="I16" s="83"/>
      <c r="J16" s="186"/>
      <c r="K16" s="111"/>
      <c r="L16" s="2"/>
      <c r="M16" s="118"/>
      <c r="N16" s="72"/>
      <c r="O16" s="8"/>
      <c r="P16" s="119"/>
      <c r="Q16" s="201"/>
    </row>
    <row r="17" spans="1:17" ht="14.4" x14ac:dyDescent="0.3">
      <c r="B17" s="160">
        <v>1022</v>
      </c>
      <c r="C17" s="107" t="s">
        <v>56</v>
      </c>
      <c r="D17" s="128"/>
      <c r="E17" s="128"/>
      <c r="F17" s="128"/>
      <c r="G17" s="128"/>
      <c r="H17" s="128"/>
      <c r="I17" s="128"/>
      <c r="J17" s="128">
        <f>SUM(D17:H17)</f>
        <v>0</v>
      </c>
      <c r="K17" s="111"/>
      <c r="L17" s="2"/>
      <c r="M17" s="118" t="s">
        <v>99</v>
      </c>
      <c r="N17" s="147">
        <f>(J17+J18+J19+J23+J24+J25+J26)</f>
        <v>0</v>
      </c>
      <c r="O17" s="8" t="s">
        <v>99</v>
      </c>
      <c r="P17" s="150">
        <f>N17</f>
        <v>0</v>
      </c>
      <c r="Q17" s="201"/>
    </row>
    <row r="18" spans="1:17" ht="14.4" x14ac:dyDescent="0.3">
      <c r="B18" s="160">
        <v>1085</v>
      </c>
      <c r="C18" s="107" t="s">
        <v>58</v>
      </c>
      <c r="D18" s="128"/>
      <c r="E18" s="128"/>
      <c r="F18" s="128"/>
      <c r="G18" s="128"/>
      <c r="H18" s="128"/>
      <c r="I18" s="128"/>
      <c r="J18" s="128">
        <f t="shared" ref="J18:J27" si="0">SUM(D18:H18)</f>
        <v>0</v>
      </c>
      <c r="K18" s="111"/>
      <c r="L18" s="2"/>
      <c r="M18" s="118" t="s">
        <v>94</v>
      </c>
      <c r="N18" s="148">
        <f>J28</f>
        <v>0</v>
      </c>
      <c r="O18" s="8" t="s">
        <v>94</v>
      </c>
      <c r="P18" s="150">
        <f>N18</f>
        <v>0</v>
      </c>
      <c r="Q18" s="201"/>
    </row>
    <row r="19" spans="1:17" ht="14.4" x14ac:dyDescent="0.3">
      <c r="B19" s="160">
        <v>1176</v>
      </c>
      <c r="C19" s="107" t="s">
        <v>59</v>
      </c>
      <c r="D19" s="128"/>
      <c r="E19" s="128"/>
      <c r="F19" s="128"/>
      <c r="G19" s="128"/>
      <c r="H19" s="128"/>
      <c r="I19" s="128"/>
      <c r="J19" s="128">
        <f t="shared" si="0"/>
        <v>0</v>
      </c>
      <c r="K19" s="111"/>
      <c r="L19" s="2"/>
      <c r="M19" s="118" t="s">
        <v>95</v>
      </c>
      <c r="N19" s="147">
        <f>J31</f>
        <v>0</v>
      </c>
      <c r="O19" s="8" t="s">
        <v>95</v>
      </c>
      <c r="P19" s="150">
        <f>N19</f>
        <v>0</v>
      </c>
      <c r="Q19" s="201"/>
    </row>
    <row r="20" spans="1:17" ht="14.4" x14ac:dyDescent="0.3">
      <c r="A20" s="1">
        <v>1785</v>
      </c>
      <c r="B20" s="160">
        <v>5139</v>
      </c>
      <c r="C20" s="107" t="s">
        <v>57</v>
      </c>
      <c r="D20" s="128"/>
      <c r="E20" s="128"/>
      <c r="F20" s="128"/>
      <c r="G20" s="128"/>
      <c r="H20" s="128"/>
      <c r="I20" s="128"/>
      <c r="J20" s="128">
        <f t="shared" si="0"/>
        <v>0</v>
      </c>
      <c r="K20" s="111"/>
      <c r="L20" s="2"/>
      <c r="M20" s="118" t="s">
        <v>96</v>
      </c>
      <c r="N20" s="148">
        <f>J32</f>
        <v>0</v>
      </c>
      <c r="O20" s="8" t="s">
        <v>96</v>
      </c>
      <c r="P20" s="157">
        <f>N20</f>
        <v>0</v>
      </c>
      <c r="Q20" s="201"/>
    </row>
    <row r="21" spans="1:17" ht="14.4" x14ac:dyDescent="0.3">
      <c r="B21" s="160">
        <v>1197</v>
      </c>
      <c r="C21" s="107" t="s">
        <v>60</v>
      </c>
      <c r="D21" s="128"/>
      <c r="E21" s="128"/>
      <c r="F21" s="128"/>
      <c r="G21" s="128"/>
      <c r="H21" s="128"/>
      <c r="I21" s="128"/>
      <c r="J21" s="128">
        <f t="shared" si="0"/>
        <v>0</v>
      </c>
      <c r="K21" s="111"/>
      <c r="L21" s="2"/>
      <c r="M21" s="122" t="s">
        <v>108</v>
      </c>
      <c r="N21" s="172">
        <f>SUM(N17:N20)</f>
        <v>0</v>
      </c>
      <c r="O21" s="8" t="s">
        <v>108</v>
      </c>
      <c r="P21" s="166">
        <f>SUM(P17:P20)</f>
        <v>0</v>
      </c>
      <c r="Q21" s="201"/>
    </row>
    <row r="22" spans="1:17" ht="14.4" x14ac:dyDescent="0.3">
      <c r="B22" s="160"/>
      <c r="C22" s="107" t="s">
        <v>88</v>
      </c>
      <c r="D22" s="128"/>
      <c r="E22" s="128"/>
      <c r="F22" s="128"/>
      <c r="G22" s="128"/>
      <c r="H22" s="128"/>
      <c r="I22" s="128"/>
      <c r="J22" s="128">
        <f t="shared" si="0"/>
        <v>0</v>
      </c>
      <c r="K22" s="111"/>
      <c r="L22" s="9"/>
      <c r="M22" s="120" t="s">
        <v>101</v>
      </c>
      <c r="N22" s="179">
        <f>(N21*8%)</f>
        <v>0</v>
      </c>
      <c r="O22" s="174" t="s">
        <v>102</v>
      </c>
      <c r="P22" s="176">
        <f>(P21*12%)</f>
        <v>0</v>
      </c>
      <c r="Q22" s="201"/>
    </row>
    <row r="23" spans="1:17" ht="14.4" x14ac:dyDescent="0.3">
      <c r="B23" s="160"/>
      <c r="C23" s="107" t="s">
        <v>89</v>
      </c>
      <c r="D23" s="128"/>
      <c r="E23" s="128"/>
      <c r="F23" s="128"/>
      <c r="G23" s="128"/>
      <c r="H23" s="128"/>
      <c r="I23" s="128"/>
      <c r="J23" s="128">
        <f t="shared" si="0"/>
        <v>0</v>
      </c>
      <c r="K23" s="111"/>
      <c r="L23" s="7"/>
      <c r="M23" s="122"/>
      <c r="N23" s="172"/>
      <c r="O23" s="171"/>
      <c r="P23" s="156"/>
      <c r="Q23" s="201"/>
    </row>
    <row r="24" spans="1:17" ht="15" thickBot="1" x14ac:dyDescent="0.35">
      <c r="B24" s="160"/>
      <c r="C24" s="107" t="s">
        <v>90</v>
      </c>
      <c r="D24" s="128"/>
      <c r="E24" s="128"/>
      <c r="F24" s="128"/>
      <c r="G24" s="128"/>
      <c r="H24" s="128"/>
      <c r="I24" s="128"/>
      <c r="J24" s="128">
        <f t="shared" si="0"/>
        <v>0</v>
      </c>
      <c r="K24" s="111"/>
      <c r="M24" s="213" t="s">
        <v>103</v>
      </c>
      <c r="N24" s="214"/>
      <c r="O24" s="214"/>
      <c r="P24" s="215"/>
      <c r="Q24" s="201"/>
    </row>
    <row r="25" spans="1:17" ht="15" thickTop="1" x14ac:dyDescent="0.3">
      <c r="B25" s="160"/>
      <c r="C25" s="107" t="s">
        <v>91</v>
      </c>
      <c r="D25" s="128"/>
      <c r="E25" s="128"/>
      <c r="F25" s="128"/>
      <c r="G25" s="128"/>
      <c r="H25" s="128"/>
      <c r="I25" s="128"/>
      <c r="J25" s="128">
        <f t="shared" si="0"/>
        <v>0</v>
      </c>
      <c r="K25" s="111"/>
      <c r="L25" s="2"/>
      <c r="M25" s="121"/>
      <c r="N25" s="147"/>
      <c r="O25" s="10"/>
      <c r="P25" s="150"/>
      <c r="Q25" s="201"/>
    </row>
    <row r="26" spans="1:17" ht="14.4" x14ac:dyDescent="0.3">
      <c r="B26" s="160"/>
      <c r="C26" s="107" t="s">
        <v>92</v>
      </c>
      <c r="D26" s="128"/>
      <c r="E26" s="128"/>
      <c r="F26" s="128"/>
      <c r="G26" s="128"/>
      <c r="H26" s="128"/>
      <c r="I26" s="128"/>
      <c r="J26" s="128">
        <f t="shared" si="0"/>
        <v>0</v>
      </c>
      <c r="K26" s="111"/>
      <c r="L26" s="2"/>
      <c r="M26" s="118" t="s">
        <v>104</v>
      </c>
      <c r="N26" s="149">
        <f>J20</f>
        <v>0</v>
      </c>
      <c r="O26" s="118" t="s">
        <v>104</v>
      </c>
      <c r="P26" s="170">
        <f>N26</f>
        <v>0</v>
      </c>
      <c r="Q26" s="201"/>
    </row>
    <row r="27" spans="1:17" ht="14.4" x14ac:dyDescent="0.3">
      <c r="B27" s="160"/>
      <c r="C27" s="107" t="s">
        <v>93</v>
      </c>
      <c r="D27" s="128"/>
      <c r="E27" s="128"/>
      <c r="F27" s="128"/>
      <c r="G27" s="128"/>
      <c r="H27" s="128"/>
      <c r="I27" s="128"/>
      <c r="J27" s="128">
        <f t="shared" si="0"/>
        <v>0</v>
      </c>
      <c r="K27" s="111"/>
      <c r="L27" s="2"/>
      <c r="M27" s="118" t="s">
        <v>105</v>
      </c>
      <c r="N27" s="149">
        <f>J21</f>
        <v>0</v>
      </c>
      <c r="O27" s="118" t="s">
        <v>105</v>
      </c>
      <c r="P27" s="170">
        <f>N27</f>
        <v>0</v>
      </c>
      <c r="Q27" s="201"/>
    </row>
    <row r="28" spans="1:17" ht="14.4" x14ac:dyDescent="0.3">
      <c r="B28" s="160">
        <v>3276</v>
      </c>
      <c r="C28" s="107" t="s">
        <v>61</v>
      </c>
      <c r="D28" s="128"/>
      <c r="E28" s="128"/>
      <c r="F28" s="128"/>
      <c r="G28" s="128"/>
      <c r="H28" s="128"/>
      <c r="I28" s="128"/>
      <c r="J28" s="128">
        <f>SUM(D28:H28)</f>
        <v>0</v>
      </c>
      <c r="K28" s="111"/>
      <c r="L28" s="2"/>
      <c r="M28" s="120" t="s">
        <v>106</v>
      </c>
      <c r="N28" s="179">
        <f>(N26*32%)+(N27*32%)</f>
        <v>0</v>
      </c>
      <c r="O28" s="174" t="s">
        <v>107</v>
      </c>
      <c r="P28" s="176">
        <f>(P26*32%)+(P27*32%)</f>
        <v>0</v>
      </c>
      <c r="Q28" s="201"/>
    </row>
    <row r="29" spans="1:17" ht="14.4" x14ac:dyDescent="0.3">
      <c r="B29" s="160"/>
      <c r="C29" s="112" t="s">
        <v>27</v>
      </c>
      <c r="D29" s="129">
        <f>SUM(D17:D28)</f>
        <v>0</v>
      </c>
      <c r="E29" s="129"/>
      <c r="F29" s="129">
        <f>SUM(F17:F28)</f>
        <v>0</v>
      </c>
      <c r="G29" s="129"/>
      <c r="H29" s="129">
        <f>SUM(H17:H28)</f>
        <v>0</v>
      </c>
      <c r="I29" s="129"/>
      <c r="J29" s="129">
        <f>SUM(J17:J28)</f>
        <v>0</v>
      </c>
      <c r="K29" s="113"/>
      <c r="L29" s="2"/>
      <c r="M29" s="122"/>
      <c r="N29" s="172"/>
      <c r="O29" s="171"/>
      <c r="P29" s="166"/>
      <c r="Q29" s="201"/>
    </row>
    <row r="30" spans="1:17" ht="15" thickBot="1" x14ac:dyDescent="0.35">
      <c r="B30" s="160"/>
      <c r="C30" s="114"/>
      <c r="D30" s="189"/>
      <c r="E30" s="189"/>
      <c r="F30" s="189"/>
      <c r="G30" s="189"/>
      <c r="H30" s="189"/>
      <c r="I30" s="189"/>
      <c r="J30" s="189"/>
      <c r="K30" s="115"/>
      <c r="L30" s="2"/>
      <c r="M30" s="213" t="s">
        <v>109</v>
      </c>
      <c r="N30" s="214"/>
      <c r="O30" s="214"/>
      <c r="P30" s="216"/>
      <c r="Q30" s="201"/>
    </row>
    <row r="31" spans="1:17" ht="15" thickTop="1" x14ac:dyDescent="0.3">
      <c r="B31" s="160"/>
      <c r="C31" s="107" t="s">
        <v>97</v>
      </c>
      <c r="D31" s="146"/>
      <c r="E31" s="146"/>
      <c r="F31" s="146"/>
      <c r="G31" s="146"/>
      <c r="H31" s="146"/>
      <c r="I31" s="146"/>
      <c r="J31" s="135">
        <f t="shared" ref="J31:J32" si="1">SUM(D31:H31)</f>
        <v>0</v>
      </c>
      <c r="K31" s="167"/>
      <c r="L31" s="2"/>
      <c r="M31" s="122"/>
      <c r="N31" s="172"/>
      <c r="O31" s="10"/>
      <c r="P31" s="166"/>
      <c r="Q31" s="201"/>
    </row>
    <row r="32" spans="1:17" ht="14.4" x14ac:dyDescent="0.3">
      <c r="B32" s="160"/>
      <c r="C32" s="107" t="s">
        <v>98</v>
      </c>
      <c r="D32" s="168"/>
      <c r="E32" s="168"/>
      <c r="F32" s="168"/>
      <c r="G32" s="168"/>
      <c r="H32" s="146"/>
      <c r="I32" s="168"/>
      <c r="J32" s="135">
        <f t="shared" si="1"/>
        <v>0</v>
      </c>
      <c r="K32" s="167"/>
      <c r="L32" s="2"/>
      <c r="M32" s="118" t="s">
        <v>110</v>
      </c>
      <c r="N32" s="148"/>
      <c r="O32" s="8" t="s">
        <v>110</v>
      </c>
      <c r="P32" s="178">
        <f>N32</f>
        <v>0</v>
      </c>
      <c r="Q32" s="200"/>
    </row>
    <row r="33" spans="2:17" ht="14.4" x14ac:dyDescent="0.3">
      <c r="B33" s="160"/>
      <c r="C33" s="107" t="s">
        <v>62</v>
      </c>
      <c r="D33" s="135"/>
      <c r="E33" s="169">
        <f>-IFERROR((D33/D29),0)</f>
        <v>0</v>
      </c>
      <c r="F33" s="135"/>
      <c r="G33" s="169">
        <f>-IFERROR((F33/F29),0)</f>
        <v>0</v>
      </c>
      <c r="H33" s="135"/>
      <c r="I33" s="169">
        <f>-IFERROR((H33/H29),0)</f>
        <v>0</v>
      </c>
      <c r="J33" s="135">
        <f>SUM(D33:H33)</f>
        <v>0</v>
      </c>
      <c r="K33" s="111">
        <f>-IFERROR((J33/J29),0)</f>
        <v>0</v>
      </c>
      <c r="M33" s="120" t="s">
        <v>111</v>
      </c>
      <c r="N33" s="179">
        <f>(N32*100%)</f>
        <v>0</v>
      </c>
      <c r="O33" s="174" t="s">
        <v>112</v>
      </c>
      <c r="P33" s="176">
        <f>(P32*100%)</f>
        <v>0</v>
      </c>
      <c r="Q33" s="200"/>
    </row>
    <row r="34" spans="2:17" ht="14.4" x14ac:dyDescent="0.3">
      <c r="B34" s="160"/>
      <c r="C34" s="112" t="s">
        <v>63</v>
      </c>
      <c r="D34" s="129">
        <f>SUM(D31:D33)</f>
        <v>0</v>
      </c>
      <c r="E34" s="154"/>
      <c r="F34" s="129">
        <f>SUM(F31:F33)</f>
        <v>0</v>
      </c>
      <c r="G34" s="154"/>
      <c r="H34" s="129">
        <f>SUM(H31:H33)</f>
        <v>0</v>
      </c>
      <c r="I34" s="154"/>
      <c r="J34" s="129">
        <f>SUM(J31:J33)</f>
        <v>0</v>
      </c>
      <c r="K34" s="113"/>
      <c r="M34" s="122"/>
      <c r="N34" s="172"/>
      <c r="O34" s="171"/>
      <c r="P34" s="166"/>
      <c r="Q34" s="200"/>
    </row>
    <row r="35" spans="2:17" ht="14.4" x14ac:dyDescent="0.3">
      <c r="B35" s="160"/>
      <c r="C35" s="114"/>
      <c r="D35" s="82"/>
      <c r="E35" s="82"/>
      <c r="F35" s="82"/>
      <c r="G35" s="82"/>
      <c r="H35" s="82"/>
      <c r="I35" s="82"/>
      <c r="J35" s="82"/>
      <c r="K35" s="115"/>
      <c r="M35" s="120" t="s">
        <v>113</v>
      </c>
      <c r="N35" s="179">
        <f>(N22+N28+N33)</f>
        <v>0</v>
      </c>
      <c r="O35" s="173"/>
      <c r="P35" s="176">
        <f>(P22+P28+P33)</f>
        <v>0</v>
      </c>
      <c r="Q35" s="200"/>
    </row>
    <row r="36" spans="2:17" ht="14.4" x14ac:dyDescent="0.3">
      <c r="B36" s="160">
        <v>266</v>
      </c>
      <c r="C36" s="107" t="s">
        <v>53</v>
      </c>
      <c r="D36" s="135">
        <v>0</v>
      </c>
      <c r="E36" s="135"/>
      <c r="F36" s="135">
        <v>0</v>
      </c>
      <c r="G36" s="135"/>
      <c r="H36" s="135">
        <v>0</v>
      </c>
      <c r="I36" s="135"/>
      <c r="J36" s="135">
        <f>SUM(D36:H36)</f>
        <v>0</v>
      </c>
      <c r="K36" s="111">
        <f>-IFERROR((J36/J29),0)</f>
        <v>0</v>
      </c>
      <c r="M36" s="122" t="s">
        <v>24</v>
      </c>
      <c r="N36" s="151">
        <f>IF(N35&gt;0,N35*15%,0)</f>
        <v>0</v>
      </c>
      <c r="O36" s="6" t="s">
        <v>23</v>
      </c>
      <c r="P36" s="177">
        <f>IF(P35&gt;0,P35*9%,0)</f>
        <v>0</v>
      </c>
      <c r="Q36" s="200"/>
    </row>
    <row r="37" spans="2:17" ht="14.4" x14ac:dyDescent="0.3">
      <c r="B37" s="160"/>
      <c r="C37" s="112" t="s">
        <v>52</v>
      </c>
      <c r="D37" s="129">
        <f>D36</f>
        <v>0</v>
      </c>
      <c r="E37" s="95"/>
      <c r="F37" s="129">
        <f t="shared" ref="F37:H37" si="2">F36</f>
        <v>0</v>
      </c>
      <c r="G37" s="95"/>
      <c r="H37" s="129">
        <f t="shared" si="2"/>
        <v>0</v>
      </c>
      <c r="I37" s="95"/>
      <c r="J37" s="129">
        <f>J36</f>
        <v>0</v>
      </c>
      <c r="K37" s="113"/>
      <c r="M37" s="122" t="s">
        <v>22</v>
      </c>
      <c r="N37" s="175">
        <f>IF((N35-60000)*10%&gt;0,(N35-60000)*10%,0)</f>
        <v>0</v>
      </c>
      <c r="O37" s="6"/>
      <c r="P37" s="170"/>
      <c r="Q37" s="200"/>
    </row>
    <row r="38" spans="2:17" ht="14.4" x14ac:dyDescent="0.3">
      <c r="B38" s="160"/>
      <c r="C38" s="114"/>
      <c r="D38" s="82"/>
      <c r="E38" s="82"/>
      <c r="F38" s="82"/>
      <c r="G38" s="82"/>
      <c r="H38" s="82"/>
      <c r="I38" s="82"/>
      <c r="J38" s="82"/>
      <c r="K38" s="115"/>
      <c r="M38" s="122" t="s">
        <v>85</v>
      </c>
      <c r="N38" s="146"/>
      <c r="O38" s="6" t="s">
        <v>21</v>
      </c>
      <c r="P38" s="180">
        <v>0</v>
      </c>
      <c r="Q38" s="200"/>
    </row>
    <row r="39" spans="2:17" ht="15" thickBot="1" x14ac:dyDescent="0.35">
      <c r="B39" s="160"/>
      <c r="C39" s="107" t="s">
        <v>26</v>
      </c>
      <c r="D39" s="128"/>
      <c r="E39" s="84">
        <f>-IFERROR((D39/D29),0)</f>
        <v>0</v>
      </c>
      <c r="F39" s="128"/>
      <c r="G39" s="84">
        <f>-IFERROR((F39/F29),0)</f>
        <v>0</v>
      </c>
      <c r="H39" s="128"/>
      <c r="I39" s="84">
        <f>-IFERROR((H39/H29),0)</f>
        <v>0</v>
      </c>
      <c r="J39" s="128">
        <f>SUM(D39:H39)</f>
        <v>0</v>
      </c>
      <c r="K39" s="111">
        <f>-IFERROR((J39/J29),0)</f>
        <v>0</v>
      </c>
      <c r="M39" s="194" t="s">
        <v>65</v>
      </c>
      <c r="N39" s="196">
        <f>IFERROR(IF(N36+N37&lt;0,0,N36+N37+N38),0)</f>
        <v>0</v>
      </c>
      <c r="O39" s="195" t="s">
        <v>66</v>
      </c>
      <c r="P39" s="197">
        <f>IFERROR(IF(P36+P37&lt;0,0,P36+P37+P38),0)</f>
        <v>0</v>
      </c>
      <c r="Q39" s="200"/>
    </row>
    <row r="40" spans="2:17" ht="15" thickTop="1" x14ac:dyDescent="0.3">
      <c r="B40" s="160"/>
      <c r="C40" s="107" t="s">
        <v>54</v>
      </c>
      <c r="D40" s="128"/>
      <c r="E40" s="84">
        <f>-IFERROR((D40/D29),0)</f>
        <v>0</v>
      </c>
      <c r="F40" s="128"/>
      <c r="G40" s="84">
        <f>-IFERROR(F40/F29,0)</f>
        <v>0</v>
      </c>
      <c r="H40" s="128"/>
      <c r="I40" s="84">
        <f>-IFERROR(H40/H29,0)</f>
        <v>0</v>
      </c>
      <c r="J40" s="128">
        <f>SUM(D40:H40)</f>
        <v>0</v>
      </c>
      <c r="K40" s="111">
        <f>-IFERROR((J40/J29),0)</f>
        <v>0</v>
      </c>
      <c r="M40" s="97"/>
      <c r="P40" s="98"/>
      <c r="Q40" s="200"/>
    </row>
    <row r="41" spans="2:17" ht="14.4" x14ac:dyDescent="0.3">
      <c r="B41" s="160"/>
      <c r="C41" s="107" t="s">
        <v>55</v>
      </c>
      <c r="D41" s="128"/>
      <c r="E41" s="84">
        <f>-IFERROR((D41/D29),0)</f>
        <v>0</v>
      </c>
      <c r="F41" s="128"/>
      <c r="G41" s="84">
        <f>-IFERROR(F41/F29,0)</f>
        <v>0</v>
      </c>
      <c r="H41" s="128"/>
      <c r="I41" s="84">
        <f>-IFERROR(H41/H29,0)</f>
        <v>0</v>
      </c>
      <c r="J41" s="128">
        <f>SUM(D41:H41)</f>
        <v>0</v>
      </c>
      <c r="K41" s="111">
        <f>-IFERROR((J41/J29),0)</f>
        <v>0</v>
      </c>
      <c r="M41" s="126" t="s">
        <v>20</v>
      </c>
      <c r="N41" s="187"/>
      <c r="O41" s="188"/>
      <c r="P41" s="125">
        <f>(N39+P39)</f>
        <v>0</v>
      </c>
      <c r="Q41" s="200"/>
    </row>
    <row r="42" spans="2:17" ht="14.4" x14ac:dyDescent="0.3">
      <c r="B42" s="160"/>
      <c r="C42" s="107" t="s">
        <v>86</v>
      </c>
      <c r="D42" s="128"/>
      <c r="E42" s="84">
        <f>-IFERROR((D42/D29),0)</f>
        <v>0</v>
      </c>
      <c r="F42" s="128"/>
      <c r="G42" s="84">
        <f>-IFERROR(F42/F29,0)</f>
        <v>0</v>
      </c>
      <c r="H42" s="128"/>
      <c r="I42" s="84">
        <f>-IFERROR(H42/H29,0)</f>
        <v>0</v>
      </c>
      <c r="J42" s="128">
        <f t="shared" ref="J42:J43" si="3">SUM(D42:H42)</f>
        <v>0</v>
      </c>
      <c r="K42" s="111">
        <f>-IFERROR((J42/J29),0)</f>
        <v>0</v>
      </c>
      <c r="M42" s="126" t="s">
        <v>19</v>
      </c>
      <c r="N42" s="187"/>
      <c r="O42" s="188"/>
      <c r="P42" s="125">
        <f>(J49-N36-N37-P36)</f>
        <v>0</v>
      </c>
      <c r="Q42" s="200"/>
    </row>
    <row r="43" spans="2:17" ht="16.5" customHeight="1" x14ac:dyDescent="0.3">
      <c r="B43" s="160">
        <v>2079</v>
      </c>
      <c r="C43" s="107" t="s">
        <v>87</v>
      </c>
      <c r="D43" s="128"/>
      <c r="E43" s="84">
        <f>-IFERROR((D43/D29),0)</f>
        <v>0</v>
      </c>
      <c r="F43" s="128"/>
      <c r="G43" s="84">
        <f>-IFERROR(F43/F29,0)</f>
        <v>0</v>
      </c>
      <c r="H43" s="128"/>
      <c r="I43" s="84">
        <f>-IFERROR(H43/H29,0)</f>
        <v>0</v>
      </c>
      <c r="J43" s="128">
        <f t="shared" si="3"/>
        <v>0</v>
      </c>
      <c r="K43" s="111">
        <f>-IFERROR((J43/J29),0)</f>
        <v>0</v>
      </c>
      <c r="M43" s="97"/>
      <c r="P43" s="98"/>
      <c r="Q43" s="200"/>
    </row>
    <row r="44" spans="2:17" ht="16.2" thickBot="1" x14ac:dyDescent="0.35">
      <c r="B44" s="160"/>
      <c r="C44" s="112" t="s">
        <v>5</v>
      </c>
      <c r="D44" s="129">
        <f>SUM(D39:D43)</f>
        <v>0</v>
      </c>
      <c r="E44" s="96"/>
      <c r="F44" s="129">
        <f>SUM(F39:F43)</f>
        <v>0</v>
      </c>
      <c r="G44" s="96"/>
      <c r="H44" s="129">
        <f>SUM(H39:H43)</f>
        <v>0</v>
      </c>
      <c r="I44" s="96"/>
      <c r="J44" s="129">
        <f t="shared" ref="D44:J44" si="4">SUM(J39:J43)</f>
        <v>0</v>
      </c>
      <c r="K44" s="113"/>
      <c r="M44" s="217" t="s">
        <v>17</v>
      </c>
      <c r="N44" s="218"/>
      <c r="O44" s="218"/>
      <c r="P44" s="219"/>
      <c r="Q44" s="200"/>
    </row>
    <row r="45" spans="2:17" ht="15.6" thickTop="1" thickBot="1" x14ac:dyDescent="0.35">
      <c r="B45" s="160">
        <v>2849</v>
      </c>
      <c r="C45" s="114"/>
      <c r="D45" s="82"/>
      <c r="E45" s="82"/>
      <c r="F45" s="82"/>
      <c r="G45" s="82"/>
      <c r="H45" s="82"/>
      <c r="I45" s="82"/>
      <c r="J45" s="82"/>
      <c r="K45" s="115"/>
      <c r="M45" s="117" t="s">
        <v>28</v>
      </c>
      <c r="N45" s="94" t="str">
        <f>J15</f>
        <v>1º TRIMESTRE</v>
      </c>
      <c r="O45" s="93" t="s">
        <v>23</v>
      </c>
      <c r="P45" s="123" t="str">
        <f>N45</f>
        <v>1º TRIMESTRE</v>
      </c>
      <c r="Q45" s="202"/>
    </row>
    <row r="46" spans="2:17" ht="15" thickTop="1" x14ac:dyDescent="0.3">
      <c r="B46" s="160"/>
      <c r="C46" s="107" t="s">
        <v>6</v>
      </c>
      <c r="D46" s="136"/>
      <c r="E46" s="84">
        <f>-IFERROR(D46/D29,0)</f>
        <v>0</v>
      </c>
      <c r="F46" s="136"/>
      <c r="G46" s="84">
        <f>-IFERROR(F46/F29,0)</f>
        <v>0</v>
      </c>
      <c r="H46" s="136"/>
      <c r="I46" s="84">
        <f>-IFERROR(H46/H29,0)</f>
        <v>0</v>
      </c>
      <c r="J46" s="136">
        <f>SUM(D46:H46)</f>
        <v>0</v>
      </c>
      <c r="K46" s="111">
        <f>-IFERROR((J46/J29),0)</f>
        <v>0</v>
      </c>
      <c r="M46" s="124" t="s">
        <v>15</v>
      </c>
      <c r="N46" s="130">
        <f>IF(N39&gt;0,N39/3,0)</f>
        <v>0</v>
      </c>
      <c r="O46" s="5" t="s">
        <v>14</v>
      </c>
      <c r="P46" s="132">
        <f>IF(P39&gt;0,P39/3,0)</f>
        <v>0</v>
      </c>
      <c r="Q46" s="203"/>
    </row>
    <row r="47" spans="2:17" ht="14.4" customHeight="1" x14ac:dyDescent="0.3">
      <c r="B47" s="160"/>
      <c r="C47" s="107" t="s">
        <v>3</v>
      </c>
      <c r="D47" s="136"/>
      <c r="E47" s="84">
        <f>-IFERROR(D47/D29,0)</f>
        <v>0</v>
      </c>
      <c r="F47" s="136"/>
      <c r="G47" s="84">
        <f>-IFERROR(F47/F29,0)</f>
        <v>0</v>
      </c>
      <c r="H47" s="136"/>
      <c r="I47" s="84">
        <f>-IFERROR(H47/H29,0)</f>
        <v>0</v>
      </c>
      <c r="J47" s="136">
        <f>SUM(D47:H47)</f>
        <v>0</v>
      </c>
      <c r="K47" s="111">
        <f>-IFERROR((J47/J29),0)</f>
        <v>0</v>
      </c>
      <c r="M47" s="124" t="s">
        <v>12</v>
      </c>
      <c r="N47" s="130">
        <f>IF(N39&gt;0,N39/3,0)</f>
        <v>0</v>
      </c>
      <c r="O47" s="4" t="s">
        <v>11</v>
      </c>
      <c r="P47" s="133">
        <f>IF(P39&gt;0,P39/3,0)</f>
        <v>0</v>
      </c>
      <c r="Q47" s="203"/>
    </row>
    <row r="48" spans="2:17" ht="14.4" customHeight="1" x14ac:dyDescent="0.45">
      <c r="B48" s="160"/>
      <c r="C48" s="107" t="s">
        <v>4</v>
      </c>
      <c r="D48" s="128"/>
      <c r="E48" s="84">
        <f>-IFERROR(D48/D29,0)</f>
        <v>0</v>
      </c>
      <c r="F48" s="128"/>
      <c r="G48" s="84">
        <f>-IFERROR(F48/F29,0)</f>
        <v>0</v>
      </c>
      <c r="H48" s="128"/>
      <c r="I48" s="84">
        <f>-IFERROR(H48/H29,0)</f>
        <v>0</v>
      </c>
      <c r="J48" s="128">
        <f>SUM(D48:H48)</f>
        <v>0</v>
      </c>
      <c r="K48" s="111">
        <f>-IFERROR((J48/J29),0)</f>
        <v>0</v>
      </c>
      <c r="M48" s="124" t="s">
        <v>9</v>
      </c>
      <c r="N48" s="131">
        <f>IF(N39&gt;0,N39/3,0)</f>
        <v>0</v>
      </c>
      <c r="O48" s="4" t="s">
        <v>8</v>
      </c>
      <c r="P48" s="134">
        <f>IF(P39&gt;0,P39/3,0)</f>
        <v>0</v>
      </c>
      <c r="Q48" s="203"/>
    </row>
    <row r="49" spans="2:17" s="1" customFormat="1" ht="14.4" customHeight="1" x14ac:dyDescent="0.3">
      <c r="B49" s="160"/>
      <c r="C49" s="116" t="s">
        <v>25</v>
      </c>
      <c r="D49" s="137">
        <f>D29+D34+D37+D44+D46+D47+D48</f>
        <v>0</v>
      </c>
      <c r="E49" s="153">
        <f>IFERROR((D49/D29),0)</f>
        <v>0</v>
      </c>
      <c r="F49" s="137">
        <f>F29+F34+F37+F44+F46+F47+F48</f>
        <v>0</v>
      </c>
      <c r="G49" s="153">
        <f>IFERROR((F49/F29),0)</f>
        <v>0</v>
      </c>
      <c r="H49" s="137">
        <f>H29+H34+H37+H44+H46+H47+H48</f>
        <v>0</v>
      </c>
      <c r="I49" s="153">
        <f>IFERROR((H49/H29),0)</f>
        <v>0</v>
      </c>
      <c r="J49" s="137">
        <f>J29+J34+J37+J44+J46+J47+J48</f>
        <v>0</v>
      </c>
      <c r="K49" s="152">
        <f>IFERROR((J49/J29),0)</f>
        <v>0</v>
      </c>
      <c r="L49" s="98"/>
      <c r="M49" s="190"/>
      <c r="N49" s="191">
        <f>SUM(N46:N48)</f>
        <v>0</v>
      </c>
      <c r="O49" s="192"/>
      <c r="P49" s="193">
        <f>SUM(P46:P48)</f>
        <v>0</v>
      </c>
      <c r="Q49" s="203"/>
    </row>
    <row r="50" spans="2:17" s="1" customFormat="1" ht="14.4" customHeight="1" x14ac:dyDescent="0.3">
      <c r="B50" s="160"/>
      <c r="C50" s="181"/>
      <c r="D50" s="182"/>
      <c r="E50" s="183"/>
      <c r="F50" s="182"/>
      <c r="G50" s="183"/>
      <c r="H50" s="182"/>
      <c r="I50" s="183"/>
      <c r="J50" s="182"/>
      <c r="K50" s="183"/>
      <c r="L50"/>
      <c r="M50" s="158"/>
      <c r="N50" s="155"/>
      <c r="O50" s="159"/>
      <c r="P50" s="155"/>
      <c r="Q50" s="203"/>
    </row>
    <row r="51" spans="2:17" s="1" customFormat="1" ht="14.4" customHeight="1" x14ac:dyDescent="0.3">
      <c r="B51" s="160"/>
      <c r="C51" s="220" t="s">
        <v>18</v>
      </c>
      <c r="D51" s="221"/>
      <c r="E51" s="221"/>
      <c r="F51" s="221"/>
      <c r="G51" s="221"/>
      <c r="H51" s="221"/>
      <c r="I51" s="221"/>
      <c r="J51" s="222"/>
      <c r="K51" s="183"/>
      <c r="L51"/>
      <c r="M51" s="163" t="s">
        <v>69</v>
      </c>
      <c r="N51" s="164"/>
      <c r="O51" s="164"/>
      <c r="P51" s="165"/>
      <c r="Q51" s="200"/>
    </row>
    <row r="52" spans="2:17" s="1" customFormat="1" ht="14.4" customHeight="1" thickBot="1" x14ac:dyDescent="0.35">
      <c r="B52" s="160"/>
      <c r="C52" s="104"/>
      <c r="D52" s="92" t="str">
        <f>D15</f>
        <v>JANEIRO</v>
      </c>
      <c r="E52" s="92"/>
      <c r="F52" s="92" t="str">
        <f>F15</f>
        <v>FEVEREIRO</v>
      </c>
      <c r="G52" s="92"/>
      <c r="H52" s="92" t="str">
        <f>H15</f>
        <v>MARÇO</v>
      </c>
      <c r="I52" s="92"/>
      <c r="J52" s="105" t="str">
        <f>J15</f>
        <v>1º TRIMESTRE</v>
      </c>
      <c r="K52" s="183"/>
      <c r="L52"/>
      <c r="M52" s="99"/>
      <c r="N52" s="3"/>
      <c r="O52" s="3"/>
      <c r="P52" s="100"/>
      <c r="Q52" s="162"/>
    </row>
    <row r="53" spans="2:17" s="1" customFormat="1" ht="14.4" customHeight="1" thickTop="1" x14ac:dyDescent="0.3">
      <c r="B53" s="160"/>
      <c r="C53" s="106" t="s">
        <v>16</v>
      </c>
      <c r="D53" s="138">
        <v>0</v>
      </c>
      <c r="E53" s="138"/>
      <c r="F53" s="138">
        <v>0</v>
      </c>
      <c r="G53" s="138"/>
      <c r="H53" s="138">
        <v>0</v>
      </c>
      <c r="I53" s="138"/>
      <c r="J53" s="139">
        <f>SUM(D53:H53)/3</f>
        <v>0</v>
      </c>
      <c r="K53" s="183"/>
      <c r="L53"/>
      <c r="M53" s="99"/>
      <c r="N53" s="3"/>
      <c r="O53" s="3"/>
      <c r="P53" s="100"/>
      <c r="Q53" s="204"/>
    </row>
    <row r="54" spans="2:17" s="1" customFormat="1" ht="14.4" customHeight="1" x14ac:dyDescent="0.3">
      <c r="B54" s="160"/>
      <c r="C54" s="107" t="s">
        <v>13</v>
      </c>
      <c r="D54" s="140">
        <v>0</v>
      </c>
      <c r="E54" s="140"/>
      <c r="F54" s="140">
        <f>IFERROR(VLOOKUP(B36,#REF!,7,0),0)</f>
        <v>0</v>
      </c>
      <c r="G54" s="140"/>
      <c r="H54" s="140">
        <v>0</v>
      </c>
      <c r="I54" s="140"/>
      <c r="J54" s="141">
        <f>H54</f>
        <v>0</v>
      </c>
      <c r="K54" s="71"/>
      <c r="M54" s="99"/>
      <c r="N54" s="3"/>
      <c r="O54" s="3"/>
      <c r="P54" s="100"/>
      <c r="Q54" s="205"/>
    </row>
    <row r="55" spans="2:17" s="1" customFormat="1" ht="14.4" customHeight="1" x14ac:dyDescent="0.3">
      <c r="B55" s="206"/>
      <c r="C55" s="108" t="s">
        <v>10</v>
      </c>
      <c r="D55" s="142">
        <v>0</v>
      </c>
      <c r="E55" s="142"/>
      <c r="F55" s="142">
        <v>0</v>
      </c>
      <c r="G55" s="142"/>
      <c r="H55" s="142">
        <v>0</v>
      </c>
      <c r="I55" s="142"/>
      <c r="J55" s="143">
        <f>H55</f>
        <v>0</v>
      </c>
      <c r="K55"/>
      <c r="L55" s="161"/>
      <c r="M55" s="99"/>
      <c r="N55" s="3"/>
      <c r="O55" s="3"/>
      <c r="P55" s="100"/>
      <c r="Q55" s="200"/>
    </row>
    <row r="56" spans="2:17" s="1" customFormat="1" ht="14.4" customHeight="1" x14ac:dyDescent="0.3">
      <c r="B56" s="160"/>
      <c r="C56" s="109" t="s">
        <v>7</v>
      </c>
      <c r="D56" s="144">
        <f>D54-D55</f>
        <v>0</v>
      </c>
      <c r="E56" s="144"/>
      <c r="F56" s="144">
        <f>F54-F55</f>
        <v>0</v>
      </c>
      <c r="G56" s="144"/>
      <c r="H56" s="144">
        <f>H54-H55</f>
        <v>0</v>
      </c>
      <c r="I56" s="144"/>
      <c r="J56" s="145">
        <f>J54-J55</f>
        <v>0</v>
      </c>
      <c r="K56"/>
      <c r="M56" s="101"/>
      <c r="N56" s="102"/>
      <c r="O56" s="102"/>
      <c r="P56" s="103"/>
      <c r="Q56" s="207"/>
    </row>
    <row r="57" spans="2:17" s="1" customFormat="1" ht="14.4" customHeight="1" x14ac:dyDescent="0.3">
      <c r="B57" s="160"/>
      <c r="C57" s="198"/>
      <c r="K57"/>
      <c r="L57" s="199"/>
      <c r="Q57" s="200"/>
    </row>
    <row r="58" spans="2:17" s="1" customFormat="1" ht="14.4" customHeight="1" x14ac:dyDescent="0.3">
      <c r="B58" s="208"/>
      <c r="C58" s="209"/>
      <c r="D58" s="209"/>
      <c r="E58" s="209"/>
      <c r="F58" s="209"/>
      <c r="G58" s="209"/>
      <c r="H58" s="209"/>
      <c r="I58" s="209"/>
      <c r="J58" s="209"/>
      <c r="K58" s="210"/>
      <c r="L58" s="211"/>
      <c r="M58" s="209"/>
      <c r="N58" s="209"/>
      <c r="O58" s="209"/>
      <c r="P58" s="209"/>
      <c r="Q58" s="212"/>
    </row>
    <row r="59" spans="2:17" s="1" customFormat="1" ht="14.4" customHeight="1" x14ac:dyDescent="0.3">
      <c r="C59"/>
      <c r="D59"/>
      <c r="E59"/>
      <c r="F59"/>
      <c r="G59"/>
      <c r="H59"/>
      <c r="I59"/>
      <c r="J59"/>
      <c r="K59"/>
    </row>
    <row r="60" spans="2:17" s="1" customFormat="1" ht="14.4" customHeight="1" x14ac:dyDescent="0.3">
      <c r="B60" s="226" t="s">
        <v>70</v>
      </c>
      <c r="C60" s="227"/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8"/>
    </row>
    <row r="61" spans="2:17" s="1" customFormat="1" ht="14.4" customHeight="1" x14ac:dyDescent="0.3">
      <c r="B61" s="160"/>
      <c r="C61"/>
      <c r="D61" s="184"/>
      <c r="E61" s="184"/>
      <c r="F61" s="184"/>
      <c r="G61" s="184"/>
      <c r="H61" s="184"/>
      <c r="I61" s="184"/>
      <c r="J61" s="184"/>
      <c r="K61" s="184"/>
      <c r="L61" s="184"/>
      <c r="M61"/>
      <c r="N61"/>
      <c r="O61"/>
      <c r="P61"/>
      <c r="Q61" s="200"/>
    </row>
    <row r="62" spans="2:17" s="1" customFormat="1" ht="14.4" customHeight="1" x14ac:dyDescent="0.3">
      <c r="B62" s="160"/>
      <c r="C62" s="220" t="s">
        <v>31</v>
      </c>
      <c r="D62" s="221"/>
      <c r="E62" s="221"/>
      <c r="F62" s="221"/>
      <c r="G62" s="221"/>
      <c r="H62" s="221"/>
      <c r="I62" s="221"/>
      <c r="J62" s="221"/>
      <c r="K62" s="222"/>
      <c r="L62" s="184"/>
      <c r="M62" s="220" t="s">
        <v>30</v>
      </c>
      <c r="N62" s="221"/>
      <c r="O62" s="221"/>
      <c r="P62" s="222"/>
      <c r="Q62" s="200"/>
    </row>
    <row r="63" spans="2:17" s="1" customFormat="1" ht="14.4" customHeight="1" x14ac:dyDescent="0.3">
      <c r="B63" s="160"/>
      <c r="C63" s="97"/>
      <c r="D63" s="184"/>
      <c r="E63" s="184"/>
      <c r="F63" s="184"/>
      <c r="G63" s="184"/>
      <c r="H63" s="184"/>
      <c r="I63" s="184"/>
      <c r="J63" s="184"/>
      <c r="K63" s="110"/>
      <c r="L63" s="184"/>
      <c r="M63" s="97"/>
      <c r="N63"/>
      <c r="O63"/>
      <c r="P63" s="98"/>
      <c r="Q63" s="200"/>
    </row>
    <row r="64" spans="2:17" s="1" customFormat="1" ht="14.4" customHeight="1" thickBot="1" x14ac:dyDescent="0.35">
      <c r="B64" s="160"/>
      <c r="C64" s="97"/>
      <c r="D64" s="184"/>
      <c r="E64" s="184"/>
      <c r="F64" s="184"/>
      <c r="G64" s="184"/>
      <c r="H64" s="184"/>
      <c r="I64" s="184"/>
      <c r="J64" s="184"/>
      <c r="K64" s="110"/>
      <c r="L64" s="184"/>
      <c r="M64" s="233" t="s">
        <v>100</v>
      </c>
      <c r="N64" s="234"/>
      <c r="O64" s="234"/>
      <c r="P64" s="235"/>
      <c r="Q64" s="200"/>
    </row>
    <row r="65" spans="2:17" s="1" customFormat="1" ht="14.4" customHeight="1" thickTop="1" x14ac:dyDescent="0.3">
      <c r="B65" s="160"/>
      <c r="C65" s="104"/>
      <c r="D65" s="92" t="s">
        <v>71</v>
      </c>
      <c r="E65" s="92" t="s">
        <v>29</v>
      </c>
      <c r="F65" s="92" t="s">
        <v>72</v>
      </c>
      <c r="G65" s="92" t="s">
        <v>29</v>
      </c>
      <c r="H65" s="92" t="s">
        <v>73</v>
      </c>
      <c r="I65" s="92" t="s">
        <v>29</v>
      </c>
      <c r="J65" s="92" t="s">
        <v>74</v>
      </c>
      <c r="K65" s="105" t="s">
        <v>29</v>
      </c>
      <c r="L65" s="185"/>
      <c r="M65" s="229" t="s">
        <v>28</v>
      </c>
      <c r="N65" s="230"/>
      <c r="O65" s="231" t="s">
        <v>23</v>
      </c>
      <c r="P65" s="232"/>
      <c r="Q65" s="200"/>
    </row>
    <row r="66" spans="2:17" s="1" customFormat="1" ht="14.4" customHeight="1" x14ac:dyDescent="0.3">
      <c r="B66" s="160">
        <v>994</v>
      </c>
      <c r="C66" s="107"/>
      <c r="D66" s="83"/>
      <c r="E66" s="83"/>
      <c r="F66" s="127"/>
      <c r="G66" s="83"/>
      <c r="H66" s="127"/>
      <c r="I66" s="83"/>
      <c r="J66" s="186"/>
      <c r="K66" s="111"/>
      <c r="L66" s="2"/>
      <c r="M66" s="118"/>
      <c r="N66" s="72"/>
      <c r="O66" s="8"/>
      <c r="P66" s="119"/>
      <c r="Q66" s="201"/>
    </row>
    <row r="67" spans="2:17" s="1" customFormat="1" ht="14.4" customHeight="1" x14ac:dyDescent="0.3">
      <c r="B67" s="160">
        <v>1022</v>
      </c>
      <c r="C67" s="107" t="s">
        <v>56</v>
      </c>
      <c r="D67" s="128"/>
      <c r="E67" s="128"/>
      <c r="F67" s="128"/>
      <c r="G67" s="128"/>
      <c r="H67" s="128"/>
      <c r="I67" s="128"/>
      <c r="J67" s="128">
        <f>SUM(D67:H67)</f>
        <v>0</v>
      </c>
      <c r="K67" s="111"/>
      <c r="L67" s="2"/>
      <c r="M67" s="118" t="s">
        <v>99</v>
      </c>
      <c r="N67" s="147">
        <f>(J67+J68+J69+J73+J74+J75+J76)</f>
        <v>0</v>
      </c>
      <c r="O67" s="8" t="s">
        <v>99</v>
      </c>
      <c r="P67" s="150">
        <f>N67</f>
        <v>0</v>
      </c>
      <c r="Q67" s="201"/>
    </row>
    <row r="68" spans="2:17" s="1" customFormat="1" ht="14.4" customHeight="1" x14ac:dyDescent="0.3">
      <c r="B68" s="160">
        <v>1085</v>
      </c>
      <c r="C68" s="107" t="s">
        <v>58</v>
      </c>
      <c r="D68" s="128"/>
      <c r="E68" s="128"/>
      <c r="F68" s="128"/>
      <c r="G68" s="128"/>
      <c r="H68" s="128"/>
      <c r="I68" s="128"/>
      <c r="J68" s="128">
        <f t="shared" ref="J68:J77" si="5">SUM(D68:H68)</f>
        <v>0</v>
      </c>
      <c r="K68" s="111"/>
      <c r="L68" s="2"/>
      <c r="M68" s="118" t="s">
        <v>94</v>
      </c>
      <c r="N68" s="148">
        <f>J78</f>
        <v>0</v>
      </c>
      <c r="O68" s="8" t="s">
        <v>94</v>
      </c>
      <c r="P68" s="150">
        <f>N68</f>
        <v>0</v>
      </c>
      <c r="Q68" s="201"/>
    </row>
    <row r="69" spans="2:17" s="1" customFormat="1" ht="14.4" customHeight="1" x14ac:dyDescent="0.3">
      <c r="B69" s="160">
        <v>1176</v>
      </c>
      <c r="C69" s="107" t="s">
        <v>59</v>
      </c>
      <c r="D69" s="128"/>
      <c r="E69" s="128"/>
      <c r="F69" s="128"/>
      <c r="G69" s="128"/>
      <c r="H69" s="128"/>
      <c r="I69" s="128"/>
      <c r="J69" s="128">
        <f t="shared" si="5"/>
        <v>0</v>
      </c>
      <c r="K69" s="111"/>
      <c r="L69" s="2"/>
      <c r="M69" s="118" t="s">
        <v>95</v>
      </c>
      <c r="N69" s="147">
        <f>J81</f>
        <v>0</v>
      </c>
      <c r="O69" s="8" t="s">
        <v>95</v>
      </c>
      <c r="P69" s="150">
        <f>N69</f>
        <v>0</v>
      </c>
      <c r="Q69" s="201"/>
    </row>
    <row r="70" spans="2:17" s="1" customFormat="1" ht="14.4" customHeight="1" x14ac:dyDescent="0.3">
      <c r="B70" s="160">
        <v>5139</v>
      </c>
      <c r="C70" s="107" t="s">
        <v>57</v>
      </c>
      <c r="D70" s="128"/>
      <c r="E70" s="128"/>
      <c r="F70" s="128"/>
      <c r="G70" s="128"/>
      <c r="H70" s="128"/>
      <c r="I70" s="128"/>
      <c r="J70" s="128">
        <f t="shared" si="5"/>
        <v>0</v>
      </c>
      <c r="K70" s="111"/>
      <c r="L70" s="2"/>
      <c r="M70" s="118" t="s">
        <v>96</v>
      </c>
      <c r="N70" s="148">
        <f>J82</f>
        <v>0</v>
      </c>
      <c r="O70" s="8" t="s">
        <v>96</v>
      </c>
      <c r="P70" s="157">
        <f>N70</f>
        <v>0</v>
      </c>
      <c r="Q70" s="201"/>
    </row>
    <row r="71" spans="2:17" s="1" customFormat="1" ht="14.4" customHeight="1" x14ac:dyDescent="0.3">
      <c r="B71" s="160">
        <v>1197</v>
      </c>
      <c r="C71" s="107" t="s">
        <v>60</v>
      </c>
      <c r="D71" s="128"/>
      <c r="E71" s="128"/>
      <c r="F71" s="128"/>
      <c r="G71" s="128"/>
      <c r="H71" s="128"/>
      <c r="I71" s="128"/>
      <c r="J71" s="128">
        <f t="shared" si="5"/>
        <v>0</v>
      </c>
      <c r="K71" s="111"/>
      <c r="L71" s="2"/>
      <c r="M71" s="122" t="s">
        <v>108</v>
      </c>
      <c r="N71" s="172">
        <f>SUM(N67:N70)</f>
        <v>0</v>
      </c>
      <c r="O71" s="8" t="s">
        <v>108</v>
      </c>
      <c r="P71" s="166">
        <f>SUM(P67:P70)</f>
        <v>0</v>
      </c>
      <c r="Q71" s="201"/>
    </row>
    <row r="72" spans="2:17" s="1" customFormat="1" ht="14.4" customHeight="1" x14ac:dyDescent="0.3">
      <c r="B72" s="160"/>
      <c r="C72" s="107" t="s">
        <v>88</v>
      </c>
      <c r="D72" s="128"/>
      <c r="E72" s="128"/>
      <c r="F72" s="128"/>
      <c r="G72" s="128"/>
      <c r="H72" s="128"/>
      <c r="I72" s="128"/>
      <c r="J72" s="128">
        <f t="shared" si="5"/>
        <v>0</v>
      </c>
      <c r="K72" s="111"/>
      <c r="L72" s="9"/>
      <c r="M72" s="120" t="s">
        <v>101</v>
      </c>
      <c r="N72" s="179">
        <f>(N71*8%)</f>
        <v>0</v>
      </c>
      <c r="O72" s="174" t="s">
        <v>102</v>
      </c>
      <c r="P72" s="176">
        <f>(P71*12%)</f>
        <v>0</v>
      </c>
      <c r="Q72" s="201"/>
    </row>
    <row r="73" spans="2:17" s="1" customFormat="1" ht="14.4" customHeight="1" x14ac:dyDescent="0.3">
      <c r="B73" s="160"/>
      <c r="C73" s="107" t="s">
        <v>89</v>
      </c>
      <c r="D73" s="128"/>
      <c r="E73" s="128"/>
      <c r="F73" s="128"/>
      <c r="G73" s="128"/>
      <c r="H73" s="128"/>
      <c r="I73" s="128"/>
      <c r="J73" s="128">
        <f t="shared" si="5"/>
        <v>0</v>
      </c>
      <c r="K73" s="111"/>
      <c r="L73" s="7"/>
      <c r="M73" s="122"/>
      <c r="N73" s="172"/>
      <c r="O73" s="171"/>
      <c r="P73" s="156"/>
      <c r="Q73" s="201"/>
    </row>
    <row r="74" spans="2:17" s="1" customFormat="1" ht="14.4" customHeight="1" thickBot="1" x14ac:dyDescent="0.35">
      <c r="B74" s="160"/>
      <c r="C74" s="107" t="s">
        <v>90</v>
      </c>
      <c r="D74" s="128"/>
      <c r="E74" s="128"/>
      <c r="F74" s="128"/>
      <c r="G74" s="128"/>
      <c r="H74" s="128"/>
      <c r="I74" s="128"/>
      <c r="J74" s="128">
        <f t="shared" si="5"/>
        <v>0</v>
      </c>
      <c r="K74" s="111"/>
      <c r="L74"/>
      <c r="M74" s="213" t="s">
        <v>103</v>
      </c>
      <c r="N74" s="214"/>
      <c r="O74" s="214"/>
      <c r="P74" s="215"/>
      <c r="Q74" s="201"/>
    </row>
    <row r="75" spans="2:17" s="1" customFormat="1" ht="14.4" customHeight="1" thickTop="1" x14ac:dyDescent="0.3">
      <c r="B75" s="160"/>
      <c r="C75" s="107" t="s">
        <v>91</v>
      </c>
      <c r="D75" s="128"/>
      <c r="E75" s="128"/>
      <c r="F75" s="128"/>
      <c r="G75" s="128"/>
      <c r="H75" s="128"/>
      <c r="I75" s="128"/>
      <c r="J75" s="128">
        <f t="shared" si="5"/>
        <v>0</v>
      </c>
      <c r="K75" s="111"/>
      <c r="L75" s="2"/>
      <c r="M75" s="121"/>
      <c r="N75" s="147"/>
      <c r="O75" s="10"/>
      <c r="P75" s="150"/>
      <c r="Q75" s="201"/>
    </row>
    <row r="76" spans="2:17" s="1" customFormat="1" ht="14.4" customHeight="1" x14ac:dyDescent="0.3">
      <c r="B76" s="160"/>
      <c r="C76" s="107" t="s">
        <v>92</v>
      </c>
      <c r="D76" s="128"/>
      <c r="E76" s="128"/>
      <c r="F76" s="128"/>
      <c r="G76" s="128"/>
      <c r="H76" s="128"/>
      <c r="I76" s="128"/>
      <c r="J76" s="128">
        <f t="shared" si="5"/>
        <v>0</v>
      </c>
      <c r="K76" s="111"/>
      <c r="L76" s="2"/>
      <c r="M76" s="118" t="s">
        <v>104</v>
      </c>
      <c r="N76" s="149">
        <f>J70</f>
        <v>0</v>
      </c>
      <c r="O76" s="118" t="s">
        <v>104</v>
      </c>
      <c r="P76" s="170">
        <f>N76</f>
        <v>0</v>
      </c>
      <c r="Q76" s="201"/>
    </row>
    <row r="77" spans="2:17" s="1" customFormat="1" ht="14.4" customHeight="1" x14ac:dyDescent="0.3">
      <c r="B77" s="160"/>
      <c r="C77" s="107" t="s">
        <v>93</v>
      </c>
      <c r="D77" s="128"/>
      <c r="E77" s="128"/>
      <c r="F77" s="128"/>
      <c r="G77" s="128"/>
      <c r="H77" s="128"/>
      <c r="I77" s="128"/>
      <c r="J77" s="128">
        <f t="shared" si="5"/>
        <v>0</v>
      </c>
      <c r="K77" s="111"/>
      <c r="L77" s="2"/>
      <c r="M77" s="118" t="s">
        <v>105</v>
      </c>
      <c r="N77" s="149">
        <f>J71</f>
        <v>0</v>
      </c>
      <c r="O77" s="118" t="s">
        <v>105</v>
      </c>
      <c r="P77" s="170">
        <f>N77</f>
        <v>0</v>
      </c>
      <c r="Q77" s="201"/>
    </row>
    <row r="78" spans="2:17" s="1" customFormat="1" ht="14.4" customHeight="1" x14ac:dyDescent="0.3">
      <c r="B78" s="160">
        <v>3276</v>
      </c>
      <c r="C78" s="107" t="s">
        <v>61</v>
      </c>
      <c r="D78" s="128"/>
      <c r="E78" s="128"/>
      <c r="F78" s="128"/>
      <c r="G78" s="128"/>
      <c r="H78" s="128"/>
      <c r="I78" s="128"/>
      <c r="J78" s="128">
        <f>SUM(D78:H78)</f>
        <v>0</v>
      </c>
      <c r="K78" s="111"/>
      <c r="L78" s="2"/>
      <c r="M78" s="120" t="s">
        <v>106</v>
      </c>
      <c r="N78" s="179">
        <f>(N76*32%)+(N77*32%)</f>
        <v>0</v>
      </c>
      <c r="O78" s="174" t="s">
        <v>107</v>
      </c>
      <c r="P78" s="176">
        <f>(P76*32%)+(P77*32%)</f>
        <v>0</v>
      </c>
      <c r="Q78" s="201"/>
    </row>
    <row r="79" spans="2:17" s="1" customFormat="1" ht="14.4" customHeight="1" x14ac:dyDescent="0.3">
      <c r="B79" s="160"/>
      <c r="C79" s="112" t="s">
        <v>27</v>
      </c>
      <c r="D79" s="129">
        <f>SUM(D67:D78)</f>
        <v>0</v>
      </c>
      <c r="E79" s="129"/>
      <c r="F79" s="129">
        <f>SUM(F67:F78)</f>
        <v>0</v>
      </c>
      <c r="G79" s="129"/>
      <c r="H79" s="129">
        <f>SUM(H67:H78)</f>
        <v>0</v>
      </c>
      <c r="I79" s="129"/>
      <c r="J79" s="129">
        <f>SUM(J67:J78)</f>
        <v>0</v>
      </c>
      <c r="K79" s="113"/>
      <c r="L79" s="2"/>
      <c r="M79" s="122"/>
      <c r="N79" s="172"/>
      <c r="O79" s="171"/>
      <c r="P79" s="166"/>
      <c r="Q79" s="201"/>
    </row>
    <row r="80" spans="2:17" s="1" customFormat="1" ht="14.4" customHeight="1" thickBot="1" x14ac:dyDescent="0.35">
      <c r="B80" s="160"/>
      <c r="C80" s="114"/>
      <c r="D80" s="189"/>
      <c r="E80" s="189"/>
      <c r="F80" s="189"/>
      <c r="G80" s="189"/>
      <c r="H80" s="189"/>
      <c r="I80" s="189"/>
      <c r="J80" s="189"/>
      <c r="K80" s="115"/>
      <c r="L80" s="2"/>
      <c r="M80" s="213" t="s">
        <v>109</v>
      </c>
      <c r="N80" s="214"/>
      <c r="O80" s="214"/>
      <c r="P80" s="216"/>
      <c r="Q80" s="201"/>
    </row>
    <row r="81" spans="2:17" s="1" customFormat="1" ht="14.4" customHeight="1" thickTop="1" x14ac:dyDescent="0.3">
      <c r="B81" s="160"/>
      <c r="C81" s="107" t="s">
        <v>97</v>
      </c>
      <c r="D81" s="146"/>
      <c r="E81" s="146"/>
      <c r="F81" s="146"/>
      <c r="G81" s="146"/>
      <c r="H81" s="146"/>
      <c r="I81" s="146"/>
      <c r="J81" s="135">
        <f t="shared" ref="J81:J82" si="6">SUM(D81:H81)</f>
        <v>0</v>
      </c>
      <c r="K81" s="167"/>
      <c r="L81" s="2"/>
      <c r="M81" s="122"/>
      <c r="N81" s="172"/>
      <c r="O81" s="10"/>
      <c r="P81" s="166"/>
      <c r="Q81" s="201"/>
    </row>
    <row r="82" spans="2:17" s="1" customFormat="1" ht="14.4" customHeight="1" x14ac:dyDescent="0.3">
      <c r="B82" s="160"/>
      <c r="C82" s="107" t="s">
        <v>98</v>
      </c>
      <c r="D82" s="168"/>
      <c r="E82" s="168"/>
      <c r="F82" s="168"/>
      <c r="G82" s="168"/>
      <c r="H82" s="146"/>
      <c r="I82" s="168"/>
      <c r="J82" s="135">
        <f t="shared" si="6"/>
        <v>0</v>
      </c>
      <c r="K82" s="167"/>
      <c r="L82" s="2"/>
      <c r="M82" s="118" t="s">
        <v>110</v>
      </c>
      <c r="N82" s="148"/>
      <c r="O82" s="8" t="s">
        <v>110</v>
      </c>
      <c r="P82" s="178">
        <f>N82</f>
        <v>0</v>
      </c>
      <c r="Q82" s="200"/>
    </row>
    <row r="83" spans="2:17" s="1" customFormat="1" ht="14.4" customHeight="1" x14ac:dyDescent="0.3">
      <c r="B83" s="160"/>
      <c r="C83" s="107" t="s">
        <v>62</v>
      </c>
      <c r="D83" s="135"/>
      <c r="E83" s="169">
        <f>-IFERROR((D83/D79),0)</f>
        <v>0</v>
      </c>
      <c r="F83" s="135"/>
      <c r="G83" s="169">
        <f>-IFERROR((F83/F79),0)</f>
        <v>0</v>
      </c>
      <c r="H83" s="135"/>
      <c r="I83" s="169">
        <f>-IFERROR((H83/H79),0)</f>
        <v>0</v>
      </c>
      <c r="J83" s="135">
        <f>SUM(D83:H83)</f>
        <v>0</v>
      </c>
      <c r="K83" s="111">
        <f>-IFERROR((J83/J79),0)</f>
        <v>0</v>
      </c>
      <c r="L83"/>
      <c r="M83" s="120" t="s">
        <v>111</v>
      </c>
      <c r="N83" s="179">
        <f>(N82*100%)</f>
        <v>0</v>
      </c>
      <c r="O83" s="174" t="s">
        <v>112</v>
      </c>
      <c r="P83" s="176">
        <f>(P82*100%)</f>
        <v>0</v>
      </c>
      <c r="Q83" s="200"/>
    </row>
    <row r="84" spans="2:17" s="1" customFormat="1" ht="14.4" customHeight="1" x14ac:dyDescent="0.3">
      <c r="B84" s="160"/>
      <c r="C84" s="112" t="s">
        <v>63</v>
      </c>
      <c r="D84" s="129">
        <f>SUM(D81:D83)</f>
        <v>0</v>
      </c>
      <c r="E84" s="154"/>
      <c r="F84" s="129">
        <f>SUM(F81:F83)</f>
        <v>0</v>
      </c>
      <c r="G84" s="154"/>
      <c r="H84" s="129">
        <f>SUM(H81:H83)</f>
        <v>0</v>
      </c>
      <c r="I84" s="154"/>
      <c r="J84" s="129">
        <f>SUM(J81:J83)</f>
        <v>0</v>
      </c>
      <c r="K84" s="113"/>
      <c r="L84"/>
      <c r="M84" s="122"/>
      <c r="N84" s="172"/>
      <c r="O84" s="171"/>
      <c r="P84" s="166"/>
      <c r="Q84" s="200"/>
    </row>
    <row r="85" spans="2:17" s="1" customFormat="1" ht="14.4" customHeight="1" x14ac:dyDescent="0.3">
      <c r="B85" s="160"/>
      <c r="C85" s="114"/>
      <c r="D85" s="82"/>
      <c r="E85" s="82"/>
      <c r="F85" s="82"/>
      <c r="G85" s="82"/>
      <c r="H85" s="82"/>
      <c r="I85" s="82"/>
      <c r="J85" s="82"/>
      <c r="K85" s="115"/>
      <c r="L85"/>
      <c r="M85" s="120" t="s">
        <v>113</v>
      </c>
      <c r="N85" s="179">
        <f>(N72+N78+N83)</f>
        <v>0</v>
      </c>
      <c r="O85" s="173"/>
      <c r="P85" s="176">
        <f>(P72+P78+P83)</f>
        <v>0</v>
      </c>
      <c r="Q85" s="200"/>
    </row>
    <row r="86" spans="2:17" s="1" customFormat="1" ht="14.4" customHeight="1" x14ac:dyDescent="0.3">
      <c r="B86" s="160">
        <v>266</v>
      </c>
      <c r="C86" s="107" t="s">
        <v>53</v>
      </c>
      <c r="D86" s="135">
        <v>0</v>
      </c>
      <c r="E86" s="135"/>
      <c r="F86" s="135">
        <v>0</v>
      </c>
      <c r="G86" s="135"/>
      <c r="H86" s="135">
        <v>0</v>
      </c>
      <c r="I86" s="135"/>
      <c r="J86" s="135">
        <f>SUM(D86:H86)</f>
        <v>0</v>
      </c>
      <c r="K86" s="111">
        <f>-IFERROR((J86/J79),0)</f>
        <v>0</v>
      </c>
      <c r="L86"/>
      <c r="M86" s="122" t="s">
        <v>24</v>
      </c>
      <c r="N86" s="151">
        <f>IF(N85&gt;0,N85*15%,0)</f>
        <v>0</v>
      </c>
      <c r="O86" s="6" t="s">
        <v>23</v>
      </c>
      <c r="P86" s="177">
        <f>IF(P85&gt;0,P85*9%,0)</f>
        <v>0</v>
      </c>
      <c r="Q86" s="200"/>
    </row>
    <row r="87" spans="2:17" s="1" customFormat="1" ht="14.4" customHeight="1" x14ac:dyDescent="0.3">
      <c r="B87" s="160"/>
      <c r="C87" s="112" t="s">
        <v>52</v>
      </c>
      <c r="D87" s="129">
        <f>D86</f>
        <v>0</v>
      </c>
      <c r="E87" s="95"/>
      <c r="F87" s="129">
        <f t="shared" ref="F87" si="7">F86</f>
        <v>0</v>
      </c>
      <c r="G87" s="95"/>
      <c r="H87" s="129">
        <f t="shared" ref="H87" si="8">H86</f>
        <v>0</v>
      </c>
      <c r="I87" s="95"/>
      <c r="J87" s="129">
        <f>J86</f>
        <v>0</v>
      </c>
      <c r="K87" s="113"/>
      <c r="L87"/>
      <c r="M87" s="122" t="s">
        <v>22</v>
      </c>
      <c r="N87" s="175">
        <f>IF((N85-60000)*10%&gt;0,(N85-60000)*10%,0)</f>
        <v>0</v>
      </c>
      <c r="O87" s="6"/>
      <c r="P87" s="170"/>
      <c r="Q87" s="200"/>
    </row>
    <row r="88" spans="2:17" s="1" customFormat="1" ht="14.4" customHeight="1" x14ac:dyDescent="0.3">
      <c r="B88" s="160"/>
      <c r="C88" s="114"/>
      <c r="D88" s="82"/>
      <c r="E88" s="82"/>
      <c r="F88" s="82"/>
      <c r="G88" s="82"/>
      <c r="H88" s="82"/>
      <c r="I88" s="82"/>
      <c r="J88" s="82"/>
      <c r="K88" s="115"/>
      <c r="L88"/>
      <c r="M88" s="122" t="s">
        <v>85</v>
      </c>
      <c r="N88" s="146"/>
      <c r="O88" s="6" t="s">
        <v>21</v>
      </c>
      <c r="P88" s="180">
        <v>0</v>
      </c>
      <c r="Q88" s="200"/>
    </row>
    <row r="89" spans="2:17" s="1" customFormat="1" ht="14.4" customHeight="1" thickBot="1" x14ac:dyDescent="0.35">
      <c r="B89" s="160"/>
      <c r="C89" s="107" t="s">
        <v>26</v>
      </c>
      <c r="D89" s="128"/>
      <c r="E89" s="84">
        <f>-IFERROR((D89/D79),0)</f>
        <v>0</v>
      </c>
      <c r="F89" s="128"/>
      <c r="G89" s="84">
        <f>-IFERROR((F89/F79),0)</f>
        <v>0</v>
      </c>
      <c r="H89" s="128"/>
      <c r="I89" s="84">
        <f>-IFERROR((H89/H79),0)</f>
        <v>0</v>
      </c>
      <c r="J89" s="128">
        <f>SUM(D89:H89)</f>
        <v>0</v>
      </c>
      <c r="K89" s="111">
        <f>-IFERROR((J89/J79),0)</f>
        <v>0</v>
      </c>
      <c r="L89"/>
      <c r="M89" s="194" t="s">
        <v>65</v>
      </c>
      <c r="N89" s="196">
        <f>IFERROR(IF(N86+N87&lt;0,0,N86+N87+N88),0)</f>
        <v>0</v>
      </c>
      <c r="O89" s="195" t="s">
        <v>66</v>
      </c>
      <c r="P89" s="197">
        <f>IFERROR(IF(P86+P87&lt;0,0,P86+P87+P88),0)</f>
        <v>0</v>
      </c>
      <c r="Q89" s="200"/>
    </row>
    <row r="90" spans="2:17" s="1" customFormat="1" ht="14.4" customHeight="1" thickTop="1" x14ac:dyDescent="0.3">
      <c r="B90" s="160"/>
      <c r="C90" s="107" t="s">
        <v>54</v>
      </c>
      <c r="D90" s="128"/>
      <c r="E90" s="84">
        <f>-IFERROR((D90/D79),0)</f>
        <v>0</v>
      </c>
      <c r="F90" s="128"/>
      <c r="G90" s="84">
        <f>-IFERROR(F90/F79,0)</f>
        <v>0</v>
      </c>
      <c r="H90" s="128"/>
      <c r="I90" s="84">
        <f>-IFERROR(H90/H79,0)</f>
        <v>0</v>
      </c>
      <c r="J90" s="128">
        <f>SUM(D90:H90)</f>
        <v>0</v>
      </c>
      <c r="K90" s="111">
        <f>-IFERROR((J90/J79),0)</f>
        <v>0</v>
      </c>
      <c r="L90"/>
      <c r="M90" s="97"/>
      <c r="N90"/>
      <c r="O90"/>
      <c r="P90" s="98"/>
      <c r="Q90" s="200"/>
    </row>
    <row r="91" spans="2:17" s="1" customFormat="1" ht="14.4" customHeight="1" x14ac:dyDescent="0.3">
      <c r="B91" s="160"/>
      <c r="C91" s="107" t="s">
        <v>55</v>
      </c>
      <c r="D91" s="128"/>
      <c r="E91" s="84">
        <f>-IFERROR((D91/D79),0)</f>
        <v>0</v>
      </c>
      <c r="F91" s="128"/>
      <c r="G91" s="84">
        <f>-IFERROR(F91/F79,0)</f>
        <v>0</v>
      </c>
      <c r="H91" s="128"/>
      <c r="I91" s="84">
        <f>-IFERROR(H91/H79,0)</f>
        <v>0</v>
      </c>
      <c r="J91" s="128">
        <f>SUM(D91:H91)</f>
        <v>0</v>
      </c>
      <c r="K91" s="111">
        <f>-IFERROR((J91/J79),0)</f>
        <v>0</v>
      </c>
      <c r="L91"/>
      <c r="M91" s="126" t="s">
        <v>20</v>
      </c>
      <c r="N91" s="187"/>
      <c r="O91" s="188"/>
      <c r="P91" s="125">
        <f>(N89+P89)</f>
        <v>0</v>
      </c>
      <c r="Q91" s="200"/>
    </row>
    <row r="92" spans="2:17" s="1" customFormat="1" ht="14.4" customHeight="1" x14ac:dyDescent="0.3">
      <c r="B92" s="160"/>
      <c r="C92" s="107" t="s">
        <v>86</v>
      </c>
      <c r="D92" s="128"/>
      <c r="E92" s="84">
        <f>-IFERROR((D92/D79),0)</f>
        <v>0</v>
      </c>
      <c r="F92" s="128"/>
      <c r="G92" s="84">
        <f>-IFERROR(F92/F79,0)</f>
        <v>0</v>
      </c>
      <c r="H92" s="128"/>
      <c r="I92" s="84">
        <f>-IFERROR(H92/H79,0)</f>
        <v>0</v>
      </c>
      <c r="J92" s="128">
        <f t="shared" ref="J92:J93" si="9">SUM(D92:H92)</f>
        <v>0</v>
      </c>
      <c r="K92" s="111">
        <f>-IFERROR((J92/J79),0)</f>
        <v>0</v>
      </c>
      <c r="L92"/>
      <c r="M92" s="126" t="s">
        <v>19</v>
      </c>
      <c r="N92" s="187"/>
      <c r="O92" s="188"/>
      <c r="P92" s="125">
        <f>(J99-N86-N87-P86)</f>
        <v>0</v>
      </c>
      <c r="Q92" s="200"/>
    </row>
    <row r="93" spans="2:17" s="1" customFormat="1" ht="14.4" customHeight="1" x14ac:dyDescent="0.3">
      <c r="B93" s="160">
        <v>2079</v>
      </c>
      <c r="C93" s="107" t="s">
        <v>87</v>
      </c>
      <c r="D93" s="128"/>
      <c r="E93" s="84">
        <f>-IFERROR((D93/D79),0)</f>
        <v>0</v>
      </c>
      <c r="F93" s="128"/>
      <c r="G93" s="84">
        <f>-IFERROR(F93/F79,0)</f>
        <v>0</v>
      </c>
      <c r="H93" s="128"/>
      <c r="I93" s="84">
        <f>-IFERROR(H93/H79,0)</f>
        <v>0</v>
      </c>
      <c r="J93" s="128">
        <f t="shared" si="9"/>
        <v>0</v>
      </c>
      <c r="K93" s="111">
        <f>-IFERROR((J93/J79),0)</f>
        <v>0</v>
      </c>
      <c r="L93"/>
      <c r="M93" s="97"/>
      <c r="N93"/>
      <c r="O93"/>
      <c r="P93" s="98"/>
      <c r="Q93" s="200"/>
    </row>
    <row r="94" spans="2:17" s="1" customFormat="1" ht="14.4" customHeight="1" thickBot="1" x14ac:dyDescent="0.35">
      <c r="B94" s="160"/>
      <c r="C94" s="112" t="s">
        <v>5</v>
      </c>
      <c r="D94" s="129">
        <f t="shared" ref="D94:J94" si="10">SUM(D89:D93)</f>
        <v>0</v>
      </c>
      <c r="E94" s="96"/>
      <c r="F94" s="129">
        <f t="shared" si="10"/>
        <v>0</v>
      </c>
      <c r="G94" s="96"/>
      <c r="H94" s="129">
        <f t="shared" si="10"/>
        <v>0</v>
      </c>
      <c r="I94" s="96"/>
      <c r="J94" s="129">
        <f t="shared" si="10"/>
        <v>0</v>
      </c>
      <c r="K94" s="113"/>
      <c r="L94"/>
      <c r="M94" s="217" t="s">
        <v>17</v>
      </c>
      <c r="N94" s="218"/>
      <c r="O94" s="218"/>
      <c r="P94" s="219"/>
      <c r="Q94" s="200"/>
    </row>
    <row r="95" spans="2:17" s="1" customFormat="1" ht="14.4" customHeight="1" thickTop="1" thickBot="1" x14ac:dyDescent="0.35">
      <c r="B95" s="160">
        <v>2849</v>
      </c>
      <c r="C95" s="114"/>
      <c r="D95" s="82"/>
      <c r="E95" s="82"/>
      <c r="F95" s="82"/>
      <c r="G95" s="82"/>
      <c r="H95" s="82"/>
      <c r="I95" s="82"/>
      <c r="J95" s="82"/>
      <c r="K95" s="115"/>
      <c r="L95"/>
      <c r="M95" s="117" t="s">
        <v>28</v>
      </c>
      <c r="N95" s="94" t="str">
        <f>J65</f>
        <v>2º TRIMESTRE</v>
      </c>
      <c r="O95" s="93" t="s">
        <v>23</v>
      </c>
      <c r="P95" s="123" t="str">
        <f>N95</f>
        <v>2º TRIMESTRE</v>
      </c>
      <c r="Q95" s="202"/>
    </row>
    <row r="96" spans="2:17" s="1" customFormat="1" ht="14.4" customHeight="1" thickTop="1" x14ac:dyDescent="0.3">
      <c r="B96" s="160"/>
      <c r="C96" s="107" t="s">
        <v>6</v>
      </c>
      <c r="D96" s="136"/>
      <c r="E96" s="84">
        <f>-IFERROR(D96/D79,0)</f>
        <v>0</v>
      </c>
      <c r="F96" s="136"/>
      <c r="G96" s="84">
        <f>-IFERROR(F96/F79,0)</f>
        <v>0</v>
      </c>
      <c r="H96" s="136"/>
      <c r="I96" s="84">
        <f>-IFERROR(H96/H79,0)</f>
        <v>0</v>
      </c>
      <c r="J96" s="136">
        <f>SUM(D96:H96)</f>
        <v>0</v>
      </c>
      <c r="K96" s="111">
        <f>-IFERROR((J96/J79),0)</f>
        <v>0</v>
      </c>
      <c r="L96"/>
      <c r="M96" s="124" t="s">
        <v>15</v>
      </c>
      <c r="N96" s="130">
        <f>IF(N89&gt;0,N89/3,0)</f>
        <v>0</v>
      </c>
      <c r="O96" s="5" t="s">
        <v>14</v>
      </c>
      <c r="P96" s="132">
        <f>IF(P89&gt;0,P89/3,0)</f>
        <v>0</v>
      </c>
      <c r="Q96" s="203"/>
    </row>
    <row r="97" spans="2:17" s="1" customFormat="1" ht="14.4" customHeight="1" x14ac:dyDescent="0.3">
      <c r="B97" s="160"/>
      <c r="C97" s="107" t="s">
        <v>3</v>
      </c>
      <c r="D97" s="136"/>
      <c r="E97" s="84">
        <f>-IFERROR(D97/D79,0)</f>
        <v>0</v>
      </c>
      <c r="F97" s="136"/>
      <c r="G97" s="84">
        <f>-IFERROR(F97/F79,0)</f>
        <v>0</v>
      </c>
      <c r="H97" s="136"/>
      <c r="I97" s="84">
        <f>-IFERROR(H97/H79,0)</f>
        <v>0</v>
      </c>
      <c r="J97" s="136">
        <f>SUM(D97:H97)</f>
        <v>0</v>
      </c>
      <c r="K97" s="111">
        <f>-IFERROR((J97/J79),0)</f>
        <v>0</v>
      </c>
      <c r="L97"/>
      <c r="M97" s="124" t="s">
        <v>12</v>
      </c>
      <c r="N97" s="130">
        <f>IF(N89&gt;0,N89/3,0)</f>
        <v>0</v>
      </c>
      <c r="O97" s="4" t="s">
        <v>11</v>
      </c>
      <c r="P97" s="133">
        <f>IF(P89&gt;0,P89/3,0)</f>
        <v>0</v>
      </c>
      <c r="Q97" s="203"/>
    </row>
    <row r="98" spans="2:17" s="1" customFormat="1" ht="14.4" customHeight="1" x14ac:dyDescent="0.45">
      <c r="B98" s="160"/>
      <c r="C98" s="107" t="s">
        <v>4</v>
      </c>
      <c r="D98" s="128"/>
      <c r="E98" s="84">
        <f>-IFERROR(D98/D79,0)</f>
        <v>0</v>
      </c>
      <c r="F98" s="128"/>
      <c r="G98" s="84">
        <f>-IFERROR(F98/F79,0)</f>
        <v>0</v>
      </c>
      <c r="H98" s="128"/>
      <c r="I98" s="84">
        <f>-IFERROR(H98/H79,0)</f>
        <v>0</v>
      </c>
      <c r="J98" s="128">
        <f>SUM(D98:H98)</f>
        <v>0</v>
      </c>
      <c r="K98" s="111">
        <f>-IFERROR((J98/J79),0)</f>
        <v>0</v>
      </c>
      <c r="L98"/>
      <c r="M98" s="124" t="s">
        <v>9</v>
      </c>
      <c r="N98" s="131">
        <f>IF(N89&gt;0,N89/3,0)</f>
        <v>0</v>
      </c>
      <c r="O98" s="4" t="s">
        <v>8</v>
      </c>
      <c r="P98" s="134">
        <f>IF(P89&gt;0,P89/3,0)</f>
        <v>0</v>
      </c>
      <c r="Q98" s="203"/>
    </row>
    <row r="99" spans="2:17" s="1" customFormat="1" ht="14.4" customHeight="1" x14ac:dyDescent="0.3">
      <c r="B99" s="160"/>
      <c r="C99" s="116" t="s">
        <v>25</v>
      </c>
      <c r="D99" s="137">
        <f>D79+D84+D87+D94+D96+D97+D98</f>
        <v>0</v>
      </c>
      <c r="E99" s="153">
        <f>IFERROR((D99/D79),0)</f>
        <v>0</v>
      </c>
      <c r="F99" s="137">
        <f>F79+F84+F87+F94+F96+F97+F98</f>
        <v>0</v>
      </c>
      <c r="G99" s="153">
        <f>IFERROR((F99/F79),0)</f>
        <v>0</v>
      </c>
      <c r="H99" s="137">
        <f>H79+H84+H87+H94+H96+H97+H98</f>
        <v>0</v>
      </c>
      <c r="I99" s="153">
        <f>IFERROR((H99/H79),0)</f>
        <v>0</v>
      </c>
      <c r="J99" s="137">
        <f>J79+J84+J87+J94+J96+J97+J98</f>
        <v>0</v>
      </c>
      <c r="K99" s="152">
        <f>IFERROR((J99/J79),0)</f>
        <v>0</v>
      </c>
      <c r="L99" s="98"/>
      <c r="M99" s="190"/>
      <c r="N99" s="191">
        <f>SUM(N96:N98)</f>
        <v>0</v>
      </c>
      <c r="O99" s="192"/>
      <c r="P99" s="193">
        <f>SUM(P96:P98)</f>
        <v>0</v>
      </c>
      <c r="Q99" s="203"/>
    </row>
    <row r="100" spans="2:17" s="1" customFormat="1" ht="14.4" customHeight="1" x14ac:dyDescent="0.3">
      <c r="B100" s="160"/>
      <c r="C100" s="181"/>
      <c r="D100" s="182"/>
      <c r="E100" s="183"/>
      <c r="F100" s="182"/>
      <c r="G100" s="183"/>
      <c r="H100" s="182"/>
      <c r="I100" s="183"/>
      <c r="J100" s="182"/>
      <c r="K100" s="183"/>
      <c r="L100"/>
      <c r="M100" s="158"/>
      <c r="N100" s="155"/>
      <c r="O100" s="159"/>
      <c r="P100" s="155"/>
      <c r="Q100" s="203"/>
    </row>
    <row r="101" spans="2:17" s="1" customFormat="1" ht="14.4" customHeight="1" x14ac:dyDescent="0.3">
      <c r="B101" s="160"/>
      <c r="C101" s="220" t="s">
        <v>18</v>
      </c>
      <c r="D101" s="221"/>
      <c r="E101" s="221"/>
      <c r="F101" s="221"/>
      <c r="G101" s="221"/>
      <c r="H101" s="221"/>
      <c r="I101" s="221"/>
      <c r="J101" s="222"/>
      <c r="K101" s="183"/>
      <c r="L101"/>
      <c r="M101" s="163" t="s">
        <v>69</v>
      </c>
      <c r="N101" s="164"/>
      <c r="O101" s="164"/>
      <c r="P101" s="165"/>
      <c r="Q101" s="200"/>
    </row>
    <row r="102" spans="2:17" s="1" customFormat="1" ht="14.4" customHeight="1" thickBot="1" x14ac:dyDescent="0.35">
      <c r="B102" s="160"/>
      <c r="C102" s="104"/>
      <c r="D102" s="92" t="str">
        <f>D65</f>
        <v>ABRIL</v>
      </c>
      <c r="E102" s="92"/>
      <c r="F102" s="92" t="str">
        <f>F65</f>
        <v>MAIO</v>
      </c>
      <c r="G102" s="92"/>
      <c r="H102" s="92" t="str">
        <f>H65</f>
        <v>JUNHO</v>
      </c>
      <c r="I102" s="92"/>
      <c r="J102" s="105" t="str">
        <f>J65</f>
        <v>2º TRIMESTRE</v>
      </c>
      <c r="K102" s="183"/>
      <c r="L102"/>
      <c r="M102" s="99"/>
      <c r="N102" s="3"/>
      <c r="O102" s="3"/>
      <c r="P102" s="100"/>
      <c r="Q102" s="162"/>
    </row>
    <row r="103" spans="2:17" s="1" customFormat="1" ht="14.4" customHeight="1" thickTop="1" x14ac:dyDescent="0.3">
      <c r="B103" s="160"/>
      <c r="C103" s="106" t="s">
        <v>16</v>
      </c>
      <c r="D103" s="138">
        <v>0</v>
      </c>
      <c r="E103" s="138"/>
      <c r="F103" s="138">
        <v>0</v>
      </c>
      <c r="G103" s="138"/>
      <c r="H103" s="138">
        <v>0</v>
      </c>
      <c r="I103" s="138"/>
      <c r="J103" s="139">
        <f>SUM(D103:H103)/3</f>
        <v>0</v>
      </c>
      <c r="K103" s="183"/>
      <c r="L103"/>
      <c r="M103" s="99"/>
      <c r="N103" s="3"/>
      <c r="O103" s="3"/>
      <c r="P103" s="100"/>
      <c r="Q103" s="204"/>
    </row>
    <row r="104" spans="2:17" s="1" customFormat="1" ht="14.4" customHeight="1" x14ac:dyDescent="0.3">
      <c r="B104" s="160"/>
      <c r="C104" s="107" t="s">
        <v>13</v>
      </c>
      <c r="D104" s="140">
        <v>0</v>
      </c>
      <c r="E104" s="140"/>
      <c r="F104" s="140">
        <f>IFERROR(VLOOKUP(B86,#REF!,7,0),0)</f>
        <v>0</v>
      </c>
      <c r="G104" s="140"/>
      <c r="H104" s="140">
        <v>0</v>
      </c>
      <c r="I104" s="140"/>
      <c r="J104" s="141">
        <f>H104</f>
        <v>0</v>
      </c>
      <c r="K104" s="71"/>
      <c r="M104" s="99"/>
      <c r="N104" s="3"/>
      <c r="O104" s="3"/>
      <c r="P104" s="100"/>
      <c r="Q104" s="205"/>
    </row>
    <row r="105" spans="2:17" s="1" customFormat="1" ht="14.4" customHeight="1" x14ac:dyDescent="0.3">
      <c r="B105" s="206"/>
      <c r="C105" s="108" t="s">
        <v>10</v>
      </c>
      <c r="D105" s="142">
        <v>0</v>
      </c>
      <c r="E105" s="142"/>
      <c r="F105" s="142">
        <v>0</v>
      </c>
      <c r="G105" s="142"/>
      <c r="H105" s="142">
        <v>0</v>
      </c>
      <c r="I105" s="142"/>
      <c r="J105" s="143">
        <f>H105</f>
        <v>0</v>
      </c>
      <c r="K105"/>
      <c r="L105" s="161"/>
      <c r="M105" s="99"/>
      <c r="N105" s="3"/>
      <c r="O105" s="3"/>
      <c r="P105" s="100"/>
      <c r="Q105" s="200"/>
    </row>
    <row r="106" spans="2:17" s="1" customFormat="1" ht="14.4" customHeight="1" x14ac:dyDescent="0.3">
      <c r="B106" s="160"/>
      <c r="C106" s="109" t="s">
        <v>7</v>
      </c>
      <c r="D106" s="144">
        <f>D104-D105</f>
        <v>0</v>
      </c>
      <c r="E106" s="144"/>
      <c r="F106" s="144">
        <f>F104-F105</f>
        <v>0</v>
      </c>
      <c r="G106" s="144"/>
      <c r="H106" s="144">
        <f>H104-H105</f>
        <v>0</v>
      </c>
      <c r="I106" s="144"/>
      <c r="J106" s="145">
        <f>J104-J105</f>
        <v>0</v>
      </c>
      <c r="K106"/>
      <c r="M106" s="101"/>
      <c r="N106" s="102"/>
      <c r="O106" s="102"/>
      <c r="P106" s="103"/>
      <c r="Q106" s="207"/>
    </row>
    <row r="107" spans="2:17" s="1" customFormat="1" ht="14.4" customHeight="1" x14ac:dyDescent="0.3">
      <c r="B107" s="160"/>
      <c r="C107" s="198"/>
      <c r="K107"/>
      <c r="L107" s="199"/>
      <c r="Q107" s="200"/>
    </row>
    <row r="108" spans="2:17" s="1" customFormat="1" ht="14.4" customHeight="1" x14ac:dyDescent="0.3">
      <c r="B108" s="208"/>
      <c r="C108" s="209"/>
      <c r="D108" s="209"/>
      <c r="E108" s="209"/>
      <c r="F108" s="209"/>
      <c r="G108" s="209"/>
      <c r="H108" s="209"/>
      <c r="I108" s="209"/>
      <c r="J108" s="209"/>
      <c r="K108" s="210"/>
      <c r="L108" s="211"/>
      <c r="M108" s="209"/>
      <c r="N108" s="209"/>
      <c r="O108" s="209"/>
      <c r="P108" s="209"/>
      <c r="Q108" s="212"/>
    </row>
    <row r="109" spans="2:17" s="1" customFormat="1" ht="14.4" customHeight="1" x14ac:dyDescent="0.3">
      <c r="C109"/>
      <c r="D109"/>
      <c r="E109"/>
      <c r="F109"/>
      <c r="G109"/>
      <c r="H109"/>
      <c r="I109"/>
      <c r="J109"/>
      <c r="K109"/>
    </row>
    <row r="110" spans="2:17" s="1" customFormat="1" ht="14.4" customHeight="1" x14ac:dyDescent="0.3">
      <c r="B110" s="226" t="s">
        <v>75</v>
      </c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8"/>
    </row>
    <row r="111" spans="2:17" s="1" customFormat="1" ht="14.4" customHeight="1" x14ac:dyDescent="0.3">
      <c r="B111" s="160"/>
      <c r="C111"/>
      <c r="D111" s="184"/>
      <c r="E111" s="184"/>
      <c r="F111" s="184"/>
      <c r="G111" s="184"/>
      <c r="H111" s="184"/>
      <c r="I111" s="184"/>
      <c r="J111" s="184"/>
      <c r="K111" s="184"/>
      <c r="L111" s="184"/>
      <c r="M111"/>
      <c r="N111"/>
      <c r="O111"/>
      <c r="P111"/>
      <c r="Q111" s="200"/>
    </row>
    <row r="112" spans="2:17" s="1" customFormat="1" ht="14.4" customHeight="1" x14ac:dyDescent="0.3">
      <c r="B112" s="160"/>
      <c r="C112" s="220" t="s">
        <v>31</v>
      </c>
      <c r="D112" s="221"/>
      <c r="E112" s="221"/>
      <c r="F112" s="221"/>
      <c r="G112" s="221"/>
      <c r="H112" s="221"/>
      <c r="I112" s="221"/>
      <c r="J112" s="221"/>
      <c r="K112" s="222"/>
      <c r="L112" s="184"/>
      <c r="M112" s="220" t="s">
        <v>30</v>
      </c>
      <c r="N112" s="221"/>
      <c r="O112" s="221"/>
      <c r="P112" s="222"/>
      <c r="Q112" s="200"/>
    </row>
    <row r="113" spans="2:17" s="1" customFormat="1" ht="14.4" customHeight="1" x14ac:dyDescent="0.3">
      <c r="B113" s="160"/>
      <c r="C113" s="97"/>
      <c r="D113" s="184"/>
      <c r="E113" s="184"/>
      <c r="F113" s="184"/>
      <c r="G113" s="184"/>
      <c r="H113" s="184"/>
      <c r="I113" s="184"/>
      <c r="J113" s="184"/>
      <c r="K113" s="110"/>
      <c r="L113" s="184"/>
      <c r="M113" s="97"/>
      <c r="N113"/>
      <c r="O113"/>
      <c r="P113" s="98"/>
      <c r="Q113" s="200"/>
    </row>
    <row r="114" spans="2:17" s="1" customFormat="1" ht="14.4" customHeight="1" thickBot="1" x14ac:dyDescent="0.35">
      <c r="B114" s="160"/>
      <c r="C114" s="97"/>
      <c r="D114" s="184"/>
      <c r="E114" s="184"/>
      <c r="F114" s="184"/>
      <c r="G114" s="184"/>
      <c r="H114" s="184"/>
      <c r="I114" s="184"/>
      <c r="J114" s="184"/>
      <c r="K114" s="110"/>
      <c r="L114" s="184"/>
      <c r="M114" s="233" t="s">
        <v>100</v>
      </c>
      <c r="N114" s="234"/>
      <c r="O114" s="234"/>
      <c r="P114" s="235"/>
      <c r="Q114" s="200"/>
    </row>
    <row r="115" spans="2:17" s="1" customFormat="1" ht="14.4" customHeight="1" thickTop="1" x14ac:dyDescent="0.3">
      <c r="B115" s="160"/>
      <c r="C115" s="104"/>
      <c r="D115" s="92" t="s">
        <v>76</v>
      </c>
      <c r="E115" s="92" t="s">
        <v>29</v>
      </c>
      <c r="F115" s="92" t="s">
        <v>77</v>
      </c>
      <c r="G115" s="92" t="s">
        <v>29</v>
      </c>
      <c r="H115" s="92" t="s">
        <v>78</v>
      </c>
      <c r="I115" s="92" t="s">
        <v>29</v>
      </c>
      <c r="J115" s="92" t="s">
        <v>79</v>
      </c>
      <c r="K115" s="105" t="s">
        <v>29</v>
      </c>
      <c r="L115" s="185"/>
      <c r="M115" s="229" t="s">
        <v>28</v>
      </c>
      <c r="N115" s="230"/>
      <c r="O115" s="231" t="s">
        <v>23</v>
      </c>
      <c r="P115" s="232"/>
      <c r="Q115" s="200"/>
    </row>
    <row r="116" spans="2:17" s="1" customFormat="1" ht="14.4" customHeight="1" x14ac:dyDescent="0.3">
      <c r="B116" s="160">
        <v>994</v>
      </c>
      <c r="C116" s="107"/>
      <c r="D116" s="83"/>
      <c r="E116" s="83"/>
      <c r="F116" s="127"/>
      <c r="G116" s="83"/>
      <c r="H116" s="127"/>
      <c r="I116" s="83"/>
      <c r="J116" s="186"/>
      <c r="K116" s="111"/>
      <c r="L116" s="2"/>
      <c r="M116" s="118"/>
      <c r="N116" s="72"/>
      <c r="O116" s="8"/>
      <c r="P116" s="119"/>
      <c r="Q116" s="201"/>
    </row>
    <row r="117" spans="2:17" s="1" customFormat="1" ht="14.4" customHeight="1" x14ac:dyDescent="0.3">
      <c r="B117" s="160">
        <v>1022</v>
      </c>
      <c r="C117" s="107" t="s">
        <v>56</v>
      </c>
      <c r="D117" s="128"/>
      <c r="E117" s="128"/>
      <c r="F117" s="128"/>
      <c r="G117" s="128"/>
      <c r="H117" s="128"/>
      <c r="I117" s="128"/>
      <c r="J117" s="128">
        <f>SUM(D117:H117)</f>
        <v>0</v>
      </c>
      <c r="K117" s="111"/>
      <c r="L117" s="2"/>
      <c r="M117" s="118" t="s">
        <v>99</v>
      </c>
      <c r="N117" s="147">
        <f>(J117+J118+J119+J123+J124+J125+J126)</f>
        <v>0</v>
      </c>
      <c r="O117" s="8" t="s">
        <v>99</v>
      </c>
      <c r="P117" s="150">
        <f>N117</f>
        <v>0</v>
      </c>
      <c r="Q117" s="201"/>
    </row>
    <row r="118" spans="2:17" s="1" customFormat="1" ht="14.4" customHeight="1" x14ac:dyDescent="0.3">
      <c r="B118" s="160">
        <v>1085</v>
      </c>
      <c r="C118" s="107" t="s">
        <v>58</v>
      </c>
      <c r="D118" s="128"/>
      <c r="E118" s="128"/>
      <c r="F118" s="128"/>
      <c r="G118" s="128"/>
      <c r="H118" s="128"/>
      <c r="I118" s="128"/>
      <c r="J118" s="128">
        <f t="shared" ref="J118:J127" si="11">SUM(D118:H118)</f>
        <v>0</v>
      </c>
      <c r="K118" s="111"/>
      <c r="L118" s="2"/>
      <c r="M118" s="118" t="s">
        <v>94</v>
      </c>
      <c r="N118" s="148">
        <f>J128</f>
        <v>0</v>
      </c>
      <c r="O118" s="8" t="s">
        <v>94</v>
      </c>
      <c r="P118" s="150">
        <f>N118</f>
        <v>0</v>
      </c>
      <c r="Q118" s="201"/>
    </row>
    <row r="119" spans="2:17" s="1" customFormat="1" ht="14.4" customHeight="1" x14ac:dyDescent="0.3">
      <c r="B119" s="160">
        <v>1176</v>
      </c>
      <c r="C119" s="107" t="s">
        <v>59</v>
      </c>
      <c r="D119" s="128"/>
      <c r="E119" s="128"/>
      <c r="F119" s="128"/>
      <c r="G119" s="128"/>
      <c r="H119" s="128"/>
      <c r="I119" s="128"/>
      <c r="J119" s="128">
        <f t="shared" si="11"/>
        <v>0</v>
      </c>
      <c r="K119" s="111"/>
      <c r="L119" s="2"/>
      <c r="M119" s="118" t="s">
        <v>95</v>
      </c>
      <c r="N119" s="147">
        <f>J131</f>
        <v>0</v>
      </c>
      <c r="O119" s="8" t="s">
        <v>95</v>
      </c>
      <c r="P119" s="150">
        <f>N119</f>
        <v>0</v>
      </c>
      <c r="Q119" s="201"/>
    </row>
    <row r="120" spans="2:17" s="1" customFormat="1" ht="14.4" customHeight="1" x14ac:dyDescent="0.3">
      <c r="B120" s="160">
        <v>5139</v>
      </c>
      <c r="C120" s="107" t="s">
        <v>57</v>
      </c>
      <c r="D120" s="128"/>
      <c r="E120" s="128"/>
      <c r="F120" s="128"/>
      <c r="G120" s="128"/>
      <c r="H120" s="128"/>
      <c r="I120" s="128"/>
      <c r="J120" s="128">
        <f t="shared" si="11"/>
        <v>0</v>
      </c>
      <c r="K120" s="111"/>
      <c r="L120" s="2"/>
      <c r="M120" s="118" t="s">
        <v>96</v>
      </c>
      <c r="N120" s="148">
        <f>J132</f>
        <v>0</v>
      </c>
      <c r="O120" s="8" t="s">
        <v>96</v>
      </c>
      <c r="P120" s="157">
        <f>N120</f>
        <v>0</v>
      </c>
      <c r="Q120" s="201"/>
    </row>
    <row r="121" spans="2:17" s="1" customFormat="1" ht="14.4" customHeight="1" x14ac:dyDescent="0.3">
      <c r="B121" s="160">
        <v>1197</v>
      </c>
      <c r="C121" s="107" t="s">
        <v>60</v>
      </c>
      <c r="D121" s="128"/>
      <c r="E121" s="128"/>
      <c r="F121" s="128"/>
      <c r="G121" s="128"/>
      <c r="H121" s="128"/>
      <c r="I121" s="128"/>
      <c r="J121" s="128">
        <f t="shared" si="11"/>
        <v>0</v>
      </c>
      <c r="K121" s="111"/>
      <c r="L121" s="2"/>
      <c r="M121" s="122" t="s">
        <v>108</v>
      </c>
      <c r="N121" s="172">
        <f>SUM(N117:N120)</f>
        <v>0</v>
      </c>
      <c r="O121" s="8" t="s">
        <v>108</v>
      </c>
      <c r="P121" s="166">
        <f>SUM(P117:P120)</f>
        <v>0</v>
      </c>
      <c r="Q121" s="201"/>
    </row>
    <row r="122" spans="2:17" s="1" customFormat="1" ht="14.4" customHeight="1" x14ac:dyDescent="0.3">
      <c r="B122" s="160"/>
      <c r="C122" s="107" t="s">
        <v>88</v>
      </c>
      <c r="D122" s="128"/>
      <c r="E122" s="128"/>
      <c r="F122" s="128"/>
      <c r="G122" s="128"/>
      <c r="H122" s="128"/>
      <c r="I122" s="128"/>
      <c r="J122" s="128">
        <f t="shared" si="11"/>
        <v>0</v>
      </c>
      <c r="K122" s="111"/>
      <c r="L122" s="9"/>
      <c r="M122" s="120" t="s">
        <v>101</v>
      </c>
      <c r="N122" s="179">
        <f>(N121*8%)</f>
        <v>0</v>
      </c>
      <c r="O122" s="174" t="s">
        <v>102</v>
      </c>
      <c r="P122" s="176">
        <f>(P121*12%)</f>
        <v>0</v>
      </c>
      <c r="Q122" s="201"/>
    </row>
    <row r="123" spans="2:17" s="1" customFormat="1" ht="14.4" customHeight="1" x14ac:dyDescent="0.3">
      <c r="B123" s="160"/>
      <c r="C123" s="107" t="s">
        <v>89</v>
      </c>
      <c r="D123" s="128"/>
      <c r="E123" s="128"/>
      <c r="F123" s="128"/>
      <c r="G123" s="128"/>
      <c r="H123" s="128"/>
      <c r="I123" s="128"/>
      <c r="J123" s="128">
        <f t="shared" si="11"/>
        <v>0</v>
      </c>
      <c r="K123" s="111"/>
      <c r="L123" s="7"/>
      <c r="M123" s="122"/>
      <c r="N123" s="172"/>
      <c r="O123" s="171"/>
      <c r="P123" s="156"/>
      <c r="Q123" s="201"/>
    </row>
    <row r="124" spans="2:17" s="1" customFormat="1" ht="14.4" customHeight="1" thickBot="1" x14ac:dyDescent="0.35">
      <c r="B124" s="160"/>
      <c r="C124" s="107" t="s">
        <v>90</v>
      </c>
      <c r="D124" s="128"/>
      <c r="E124" s="128"/>
      <c r="F124" s="128"/>
      <c r="G124" s="128"/>
      <c r="H124" s="128"/>
      <c r="I124" s="128"/>
      <c r="J124" s="128">
        <f t="shared" si="11"/>
        <v>0</v>
      </c>
      <c r="K124" s="111"/>
      <c r="L124"/>
      <c r="M124" s="213" t="s">
        <v>103</v>
      </c>
      <c r="N124" s="214"/>
      <c r="O124" s="214"/>
      <c r="P124" s="215"/>
      <c r="Q124" s="201"/>
    </row>
    <row r="125" spans="2:17" s="1" customFormat="1" ht="14.4" customHeight="1" thickTop="1" x14ac:dyDescent="0.3">
      <c r="B125" s="160"/>
      <c r="C125" s="107" t="s">
        <v>91</v>
      </c>
      <c r="D125" s="128"/>
      <c r="E125" s="128"/>
      <c r="F125" s="128"/>
      <c r="G125" s="128"/>
      <c r="H125" s="128"/>
      <c r="I125" s="128"/>
      <c r="J125" s="128">
        <f t="shared" si="11"/>
        <v>0</v>
      </c>
      <c r="K125" s="111"/>
      <c r="L125" s="2"/>
      <c r="M125" s="121"/>
      <c r="N125" s="147"/>
      <c r="O125" s="10"/>
      <c r="P125" s="150"/>
      <c r="Q125" s="201"/>
    </row>
    <row r="126" spans="2:17" s="1" customFormat="1" ht="14.4" customHeight="1" x14ac:dyDescent="0.3">
      <c r="B126" s="160"/>
      <c r="C126" s="107" t="s">
        <v>92</v>
      </c>
      <c r="D126" s="128"/>
      <c r="E126" s="128"/>
      <c r="F126" s="128"/>
      <c r="G126" s="128"/>
      <c r="H126" s="128"/>
      <c r="I126" s="128"/>
      <c r="J126" s="128">
        <f t="shared" si="11"/>
        <v>0</v>
      </c>
      <c r="K126" s="111"/>
      <c r="L126" s="2"/>
      <c r="M126" s="118" t="s">
        <v>104</v>
      </c>
      <c r="N126" s="149">
        <f>J120</f>
        <v>0</v>
      </c>
      <c r="O126" s="118" t="s">
        <v>104</v>
      </c>
      <c r="P126" s="170">
        <f>N126</f>
        <v>0</v>
      </c>
      <c r="Q126" s="201"/>
    </row>
    <row r="127" spans="2:17" s="1" customFormat="1" ht="14.4" customHeight="1" x14ac:dyDescent="0.3">
      <c r="B127" s="160"/>
      <c r="C127" s="107" t="s">
        <v>93</v>
      </c>
      <c r="D127" s="128"/>
      <c r="E127" s="128"/>
      <c r="F127" s="128"/>
      <c r="G127" s="128"/>
      <c r="H127" s="128"/>
      <c r="I127" s="128"/>
      <c r="J127" s="128">
        <f t="shared" si="11"/>
        <v>0</v>
      </c>
      <c r="K127" s="111"/>
      <c r="L127" s="2"/>
      <c r="M127" s="118" t="s">
        <v>105</v>
      </c>
      <c r="N127" s="149">
        <f>J121</f>
        <v>0</v>
      </c>
      <c r="O127" s="118" t="s">
        <v>105</v>
      </c>
      <c r="P127" s="170">
        <f>N127</f>
        <v>0</v>
      </c>
      <c r="Q127" s="201"/>
    </row>
    <row r="128" spans="2:17" s="1" customFormat="1" ht="14.4" customHeight="1" x14ac:dyDescent="0.3">
      <c r="B128" s="160">
        <v>3276</v>
      </c>
      <c r="C128" s="107" t="s">
        <v>61</v>
      </c>
      <c r="D128" s="128"/>
      <c r="E128" s="128"/>
      <c r="F128" s="128"/>
      <c r="G128" s="128"/>
      <c r="H128" s="128"/>
      <c r="I128" s="128"/>
      <c r="J128" s="128">
        <f>SUM(D128:H128)</f>
        <v>0</v>
      </c>
      <c r="K128" s="111"/>
      <c r="L128" s="2"/>
      <c r="M128" s="120" t="s">
        <v>106</v>
      </c>
      <c r="N128" s="179">
        <f>(N126*32%)+(N127*32%)</f>
        <v>0</v>
      </c>
      <c r="O128" s="174" t="s">
        <v>107</v>
      </c>
      <c r="P128" s="176">
        <f>(P126*32%)+(P127*32%)</f>
        <v>0</v>
      </c>
      <c r="Q128" s="201"/>
    </row>
    <row r="129" spans="2:17" s="1" customFormat="1" ht="14.4" customHeight="1" x14ac:dyDescent="0.3">
      <c r="B129" s="160"/>
      <c r="C129" s="112" t="s">
        <v>27</v>
      </c>
      <c r="D129" s="129">
        <f>SUM(D117:D128)</f>
        <v>0</v>
      </c>
      <c r="E129" s="129"/>
      <c r="F129" s="129">
        <f>SUM(F117:F128)</f>
        <v>0</v>
      </c>
      <c r="G129" s="129"/>
      <c r="H129" s="129">
        <f>SUM(H117:H128)</f>
        <v>0</v>
      </c>
      <c r="I129" s="129"/>
      <c r="J129" s="129">
        <f>SUM(J117:J128)</f>
        <v>0</v>
      </c>
      <c r="K129" s="113"/>
      <c r="L129" s="2"/>
      <c r="M129" s="122"/>
      <c r="N129" s="172"/>
      <c r="O129" s="171"/>
      <c r="P129" s="166"/>
      <c r="Q129" s="201"/>
    </row>
    <row r="130" spans="2:17" s="1" customFormat="1" ht="14.4" customHeight="1" thickBot="1" x14ac:dyDescent="0.35">
      <c r="B130" s="160"/>
      <c r="C130" s="114"/>
      <c r="D130" s="189"/>
      <c r="E130" s="189"/>
      <c r="F130" s="189"/>
      <c r="G130" s="189"/>
      <c r="H130" s="189"/>
      <c r="I130" s="189"/>
      <c r="J130" s="189"/>
      <c r="K130" s="115"/>
      <c r="L130" s="2"/>
      <c r="M130" s="213" t="s">
        <v>109</v>
      </c>
      <c r="N130" s="214"/>
      <c r="O130" s="214"/>
      <c r="P130" s="216"/>
      <c r="Q130" s="201"/>
    </row>
    <row r="131" spans="2:17" s="1" customFormat="1" ht="14.4" customHeight="1" thickTop="1" x14ac:dyDescent="0.3">
      <c r="B131" s="160"/>
      <c r="C131" s="107" t="s">
        <v>97</v>
      </c>
      <c r="D131" s="146"/>
      <c r="E131" s="146"/>
      <c r="F131" s="146"/>
      <c r="G131" s="146"/>
      <c r="H131" s="146"/>
      <c r="I131" s="146"/>
      <c r="J131" s="135">
        <f t="shared" ref="J131:J132" si="12">SUM(D131:H131)</f>
        <v>0</v>
      </c>
      <c r="K131" s="167"/>
      <c r="L131" s="2"/>
      <c r="M131" s="122"/>
      <c r="N131" s="172"/>
      <c r="O131" s="10"/>
      <c r="P131" s="166"/>
      <c r="Q131" s="201"/>
    </row>
    <row r="132" spans="2:17" s="1" customFormat="1" ht="14.4" customHeight="1" x14ac:dyDescent="0.3">
      <c r="B132" s="160"/>
      <c r="C132" s="107" t="s">
        <v>98</v>
      </c>
      <c r="D132" s="168"/>
      <c r="E132" s="168"/>
      <c r="F132" s="168"/>
      <c r="G132" s="168"/>
      <c r="H132" s="146"/>
      <c r="I132" s="168"/>
      <c r="J132" s="135">
        <f t="shared" si="12"/>
        <v>0</v>
      </c>
      <c r="K132" s="167"/>
      <c r="L132" s="2"/>
      <c r="M132" s="118" t="s">
        <v>110</v>
      </c>
      <c r="N132" s="148"/>
      <c r="O132" s="8" t="s">
        <v>110</v>
      </c>
      <c r="P132" s="178">
        <f>N132</f>
        <v>0</v>
      </c>
      <c r="Q132" s="200"/>
    </row>
    <row r="133" spans="2:17" s="1" customFormat="1" ht="14.4" customHeight="1" x14ac:dyDescent="0.3">
      <c r="B133" s="160"/>
      <c r="C133" s="107" t="s">
        <v>62</v>
      </c>
      <c r="D133" s="135"/>
      <c r="E133" s="169">
        <f>-IFERROR((D133/D129),0)</f>
        <v>0</v>
      </c>
      <c r="F133" s="135"/>
      <c r="G133" s="169">
        <f>-IFERROR((F133/F129),0)</f>
        <v>0</v>
      </c>
      <c r="H133" s="135"/>
      <c r="I133" s="169">
        <f>-IFERROR((H133/H129),0)</f>
        <v>0</v>
      </c>
      <c r="J133" s="135">
        <f>SUM(D133:H133)</f>
        <v>0</v>
      </c>
      <c r="K133" s="111">
        <f>-IFERROR((J133/J129),0)</f>
        <v>0</v>
      </c>
      <c r="L133"/>
      <c r="M133" s="120" t="s">
        <v>111</v>
      </c>
      <c r="N133" s="179">
        <f>(N132*100%)</f>
        <v>0</v>
      </c>
      <c r="O133" s="174" t="s">
        <v>112</v>
      </c>
      <c r="P133" s="176">
        <f>(P132*100%)</f>
        <v>0</v>
      </c>
      <c r="Q133" s="200"/>
    </row>
    <row r="134" spans="2:17" s="1" customFormat="1" ht="14.4" customHeight="1" x14ac:dyDescent="0.3">
      <c r="B134" s="160"/>
      <c r="C134" s="112" t="s">
        <v>63</v>
      </c>
      <c r="D134" s="129">
        <f>SUM(D131:D133)</f>
        <v>0</v>
      </c>
      <c r="E134" s="154"/>
      <c r="F134" s="129">
        <f>SUM(F131:F133)</f>
        <v>0</v>
      </c>
      <c r="G134" s="154"/>
      <c r="H134" s="129">
        <f>SUM(H131:H133)</f>
        <v>0</v>
      </c>
      <c r="I134" s="154"/>
      <c r="J134" s="129">
        <f>SUM(J131:J133)</f>
        <v>0</v>
      </c>
      <c r="K134" s="113"/>
      <c r="L134"/>
      <c r="M134" s="122"/>
      <c r="N134" s="172"/>
      <c r="O134" s="171"/>
      <c r="P134" s="166"/>
      <c r="Q134" s="200"/>
    </row>
    <row r="135" spans="2:17" s="1" customFormat="1" ht="14.4" customHeight="1" x14ac:dyDescent="0.3">
      <c r="B135" s="160"/>
      <c r="C135" s="114"/>
      <c r="D135" s="82"/>
      <c r="E135" s="82"/>
      <c r="F135" s="82"/>
      <c r="G135" s="82"/>
      <c r="H135" s="82"/>
      <c r="I135" s="82"/>
      <c r="J135" s="82"/>
      <c r="K135" s="115"/>
      <c r="L135"/>
      <c r="M135" s="120" t="s">
        <v>113</v>
      </c>
      <c r="N135" s="179">
        <f>(N122+N128+N133)</f>
        <v>0</v>
      </c>
      <c r="O135" s="173"/>
      <c r="P135" s="176">
        <f>(P122+P128+P133)</f>
        <v>0</v>
      </c>
      <c r="Q135" s="200"/>
    </row>
    <row r="136" spans="2:17" s="1" customFormat="1" ht="14.4" customHeight="1" x14ac:dyDescent="0.3">
      <c r="B136" s="160">
        <v>266</v>
      </c>
      <c r="C136" s="107" t="s">
        <v>53</v>
      </c>
      <c r="D136" s="135">
        <v>0</v>
      </c>
      <c r="E136" s="135"/>
      <c r="F136" s="135">
        <v>0</v>
      </c>
      <c r="G136" s="135"/>
      <c r="H136" s="135">
        <v>0</v>
      </c>
      <c r="I136" s="135"/>
      <c r="J136" s="135">
        <f>SUM(D136:H136)</f>
        <v>0</v>
      </c>
      <c r="K136" s="111">
        <f>-IFERROR((J136/J129),0)</f>
        <v>0</v>
      </c>
      <c r="L136"/>
      <c r="M136" s="122" t="s">
        <v>24</v>
      </c>
      <c r="N136" s="151">
        <f>IF(N135&gt;0,N135*15%,0)</f>
        <v>0</v>
      </c>
      <c r="O136" s="6" t="s">
        <v>23</v>
      </c>
      <c r="P136" s="177">
        <f>IF(P135&gt;0,P135*9%,0)</f>
        <v>0</v>
      </c>
      <c r="Q136" s="200"/>
    </row>
    <row r="137" spans="2:17" s="1" customFormat="1" ht="14.4" customHeight="1" x14ac:dyDescent="0.3">
      <c r="B137" s="160"/>
      <c r="C137" s="112" t="s">
        <v>52</v>
      </c>
      <c r="D137" s="129">
        <f>D136</f>
        <v>0</v>
      </c>
      <c r="E137" s="95"/>
      <c r="F137" s="129">
        <f t="shared" ref="F137" si="13">F136</f>
        <v>0</v>
      </c>
      <c r="G137" s="95"/>
      <c r="H137" s="129">
        <f t="shared" ref="H137" si="14">H136</f>
        <v>0</v>
      </c>
      <c r="I137" s="95"/>
      <c r="J137" s="129">
        <f>J136</f>
        <v>0</v>
      </c>
      <c r="K137" s="113"/>
      <c r="L137"/>
      <c r="M137" s="122" t="s">
        <v>22</v>
      </c>
      <c r="N137" s="175">
        <f>IF((N135-60000)*10%&gt;0,(N135-60000)*10%,0)</f>
        <v>0</v>
      </c>
      <c r="O137" s="6"/>
      <c r="P137" s="170"/>
      <c r="Q137" s="200"/>
    </row>
    <row r="138" spans="2:17" s="1" customFormat="1" ht="14.4" customHeight="1" x14ac:dyDescent="0.3">
      <c r="B138" s="160"/>
      <c r="C138" s="114"/>
      <c r="D138" s="82"/>
      <c r="E138" s="82"/>
      <c r="F138" s="82"/>
      <c r="G138" s="82"/>
      <c r="H138" s="82"/>
      <c r="I138" s="82"/>
      <c r="J138" s="82"/>
      <c r="K138" s="115"/>
      <c r="L138"/>
      <c r="M138" s="122" t="s">
        <v>85</v>
      </c>
      <c r="N138" s="146"/>
      <c r="O138" s="6" t="s">
        <v>21</v>
      </c>
      <c r="P138" s="180">
        <v>0</v>
      </c>
      <c r="Q138" s="200"/>
    </row>
    <row r="139" spans="2:17" s="1" customFormat="1" ht="14.4" customHeight="1" thickBot="1" x14ac:dyDescent="0.35">
      <c r="B139" s="160"/>
      <c r="C139" s="107" t="s">
        <v>26</v>
      </c>
      <c r="D139" s="128"/>
      <c r="E139" s="84">
        <f>-IFERROR((D139/D129),0)</f>
        <v>0</v>
      </c>
      <c r="F139" s="128"/>
      <c r="G139" s="84">
        <f>-IFERROR((F139/F129),0)</f>
        <v>0</v>
      </c>
      <c r="H139" s="128"/>
      <c r="I139" s="84">
        <f>-IFERROR((H139/H129),0)</f>
        <v>0</v>
      </c>
      <c r="J139" s="128">
        <f>SUM(D139:H139)</f>
        <v>0</v>
      </c>
      <c r="K139" s="111">
        <f>-IFERROR((J139/J129),0)</f>
        <v>0</v>
      </c>
      <c r="L139"/>
      <c r="M139" s="194" t="s">
        <v>65</v>
      </c>
      <c r="N139" s="196">
        <f>IFERROR(IF(N136+N137&lt;0,0,N136+N137+N138),0)</f>
        <v>0</v>
      </c>
      <c r="O139" s="195" t="s">
        <v>66</v>
      </c>
      <c r="P139" s="197">
        <f>IFERROR(IF(P136+P137&lt;0,0,P136+P137+P138),0)</f>
        <v>0</v>
      </c>
      <c r="Q139" s="200"/>
    </row>
    <row r="140" spans="2:17" s="1" customFormat="1" ht="14.4" customHeight="1" thickTop="1" x14ac:dyDescent="0.3">
      <c r="B140" s="160"/>
      <c r="C140" s="107" t="s">
        <v>54</v>
      </c>
      <c r="D140" s="128"/>
      <c r="E140" s="84">
        <f>-IFERROR((D140/D129),0)</f>
        <v>0</v>
      </c>
      <c r="F140" s="128"/>
      <c r="G140" s="84">
        <f>-IFERROR(F140/F129,0)</f>
        <v>0</v>
      </c>
      <c r="H140" s="128"/>
      <c r="I140" s="84">
        <f>-IFERROR(H140/H129,0)</f>
        <v>0</v>
      </c>
      <c r="J140" s="128">
        <f>SUM(D140:H140)</f>
        <v>0</v>
      </c>
      <c r="K140" s="111">
        <f>-IFERROR((J140/J129),0)</f>
        <v>0</v>
      </c>
      <c r="L140"/>
      <c r="M140" s="97"/>
      <c r="N140"/>
      <c r="O140"/>
      <c r="P140" s="98"/>
      <c r="Q140" s="200"/>
    </row>
    <row r="141" spans="2:17" s="1" customFormat="1" ht="14.4" customHeight="1" x14ac:dyDescent="0.3">
      <c r="B141" s="160"/>
      <c r="C141" s="107" t="s">
        <v>55</v>
      </c>
      <c r="D141" s="128"/>
      <c r="E141" s="84">
        <f>-IFERROR((D141/D129),0)</f>
        <v>0</v>
      </c>
      <c r="F141" s="128"/>
      <c r="G141" s="84">
        <f>-IFERROR(F141/F129,0)</f>
        <v>0</v>
      </c>
      <c r="H141" s="128"/>
      <c r="I141" s="84">
        <f>-IFERROR(H141/H129,0)</f>
        <v>0</v>
      </c>
      <c r="J141" s="128">
        <f>SUM(D141:H141)</f>
        <v>0</v>
      </c>
      <c r="K141" s="111">
        <f>-IFERROR((J141/J129),0)</f>
        <v>0</v>
      </c>
      <c r="L141"/>
      <c r="M141" s="126" t="s">
        <v>20</v>
      </c>
      <c r="N141" s="187"/>
      <c r="O141" s="188"/>
      <c r="P141" s="125">
        <f>(N139+P139)</f>
        <v>0</v>
      </c>
      <c r="Q141" s="200"/>
    </row>
    <row r="142" spans="2:17" s="1" customFormat="1" ht="14.4" customHeight="1" x14ac:dyDescent="0.3">
      <c r="B142" s="160"/>
      <c r="C142" s="107" t="s">
        <v>86</v>
      </c>
      <c r="D142" s="128"/>
      <c r="E142" s="84">
        <f>-IFERROR((D142/D129),0)</f>
        <v>0</v>
      </c>
      <c r="F142" s="128"/>
      <c r="G142" s="84">
        <f>-IFERROR(F142/F129,0)</f>
        <v>0</v>
      </c>
      <c r="H142" s="128"/>
      <c r="I142" s="84">
        <f>-IFERROR(H142/H129,0)</f>
        <v>0</v>
      </c>
      <c r="J142" s="128">
        <f t="shared" ref="J142:J143" si="15">SUM(D142:H142)</f>
        <v>0</v>
      </c>
      <c r="K142" s="111">
        <f>-IFERROR((J142/J129),0)</f>
        <v>0</v>
      </c>
      <c r="L142"/>
      <c r="M142" s="126" t="s">
        <v>19</v>
      </c>
      <c r="N142" s="187"/>
      <c r="O142" s="188"/>
      <c r="P142" s="125">
        <f>(J149-N136-N137-P136)</f>
        <v>0</v>
      </c>
      <c r="Q142" s="200"/>
    </row>
    <row r="143" spans="2:17" s="1" customFormat="1" ht="14.4" customHeight="1" x14ac:dyDescent="0.3">
      <c r="B143" s="160">
        <v>2079</v>
      </c>
      <c r="C143" s="107" t="s">
        <v>87</v>
      </c>
      <c r="D143" s="128"/>
      <c r="E143" s="84">
        <f>-IFERROR((D143/D129),0)</f>
        <v>0</v>
      </c>
      <c r="F143" s="128"/>
      <c r="G143" s="84">
        <f>-IFERROR(F143/F129,0)</f>
        <v>0</v>
      </c>
      <c r="H143" s="128"/>
      <c r="I143" s="84">
        <f>-IFERROR(H143/H129,0)</f>
        <v>0</v>
      </c>
      <c r="J143" s="128">
        <f t="shared" si="15"/>
        <v>0</v>
      </c>
      <c r="K143" s="111">
        <f>-IFERROR((J143/J129),0)</f>
        <v>0</v>
      </c>
      <c r="L143"/>
      <c r="M143" s="97"/>
      <c r="N143"/>
      <c r="O143"/>
      <c r="P143" s="98"/>
      <c r="Q143" s="200"/>
    </row>
    <row r="144" spans="2:17" s="1" customFormat="1" ht="14.4" customHeight="1" thickBot="1" x14ac:dyDescent="0.35">
      <c r="B144" s="160"/>
      <c r="C144" s="112" t="s">
        <v>5</v>
      </c>
      <c r="D144" s="129">
        <f t="shared" ref="D144:J144" si="16">SUM(D139:D143)</f>
        <v>0</v>
      </c>
      <c r="E144" s="96"/>
      <c r="F144" s="129">
        <f t="shared" si="16"/>
        <v>0</v>
      </c>
      <c r="G144" s="96"/>
      <c r="H144" s="129">
        <f t="shared" si="16"/>
        <v>0</v>
      </c>
      <c r="I144" s="96"/>
      <c r="J144" s="129">
        <f t="shared" si="16"/>
        <v>0</v>
      </c>
      <c r="K144" s="113"/>
      <c r="L144"/>
      <c r="M144" s="217" t="s">
        <v>17</v>
      </c>
      <c r="N144" s="218"/>
      <c r="O144" s="218"/>
      <c r="P144" s="219"/>
      <c r="Q144" s="200"/>
    </row>
    <row r="145" spans="2:17" s="1" customFormat="1" ht="14.4" customHeight="1" thickTop="1" thickBot="1" x14ac:dyDescent="0.35">
      <c r="B145" s="160">
        <v>2849</v>
      </c>
      <c r="C145" s="114"/>
      <c r="D145" s="82"/>
      <c r="E145" s="82"/>
      <c r="F145" s="82"/>
      <c r="G145" s="82"/>
      <c r="H145" s="82"/>
      <c r="I145" s="82"/>
      <c r="J145" s="82"/>
      <c r="K145" s="115"/>
      <c r="L145"/>
      <c r="M145" s="117" t="s">
        <v>28</v>
      </c>
      <c r="N145" s="94" t="str">
        <f>J115</f>
        <v>3º TRIMESTRE</v>
      </c>
      <c r="O145" s="93" t="s">
        <v>23</v>
      </c>
      <c r="P145" s="123" t="str">
        <f>N145</f>
        <v>3º TRIMESTRE</v>
      </c>
      <c r="Q145" s="202"/>
    </row>
    <row r="146" spans="2:17" s="1" customFormat="1" ht="14.4" customHeight="1" thickTop="1" x14ac:dyDescent="0.3">
      <c r="B146" s="160"/>
      <c r="C146" s="107" t="s">
        <v>6</v>
      </c>
      <c r="D146" s="136"/>
      <c r="E146" s="84">
        <f>-IFERROR(D146/D129,0)</f>
        <v>0</v>
      </c>
      <c r="F146" s="136"/>
      <c r="G146" s="84">
        <f>-IFERROR(F146/F129,0)</f>
        <v>0</v>
      </c>
      <c r="H146" s="136"/>
      <c r="I146" s="84">
        <f>-IFERROR(H146/H129,0)</f>
        <v>0</v>
      </c>
      <c r="J146" s="136">
        <f>SUM(D146:H146)</f>
        <v>0</v>
      </c>
      <c r="K146" s="111">
        <f>-IFERROR((J146/J129),0)</f>
        <v>0</v>
      </c>
      <c r="L146"/>
      <c r="M146" s="124" t="s">
        <v>15</v>
      </c>
      <c r="N146" s="130">
        <f>IF(N139&gt;0,N139/3,0)</f>
        <v>0</v>
      </c>
      <c r="O146" s="5" t="s">
        <v>14</v>
      </c>
      <c r="P146" s="132">
        <f>IF(P139&gt;0,P139/3,0)</f>
        <v>0</v>
      </c>
      <c r="Q146" s="203"/>
    </row>
    <row r="147" spans="2:17" s="1" customFormat="1" ht="14.4" customHeight="1" x14ac:dyDescent="0.3">
      <c r="B147" s="160"/>
      <c r="C147" s="107" t="s">
        <v>3</v>
      </c>
      <c r="D147" s="136"/>
      <c r="E147" s="84">
        <f>-IFERROR(D147/D129,0)</f>
        <v>0</v>
      </c>
      <c r="F147" s="136"/>
      <c r="G147" s="84">
        <f>-IFERROR(F147/F129,0)</f>
        <v>0</v>
      </c>
      <c r="H147" s="136"/>
      <c r="I147" s="84">
        <f>-IFERROR(H147/H129,0)</f>
        <v>0</v>
      </c>
      <c r="J147" s="136">
        <f>SUM(D147:H147)</f>
        <v>0</v>
      </c>
      <c r="K147" s="111">
        <f>-IFERROR((J147/J129),0)</f>
        <v>0</v>
      </c>
      <c r="L147"/>
      <c r="M147" s="124" t="s">
        <v>12</v>
      </c>
      <c r="N147" s="130">
        <f>IF(N139&gt;0,N139/3,0)</f>
        <v>0</v>
      </c>
      <c r="O147" s="4" t="s">
        <v>11</v>
      </c>
      <c r="P147" s="133">
        <f>IF(P139&gt;0,P139/3,0)</f>
        <v>0</v>
      </c>
      <c r="Q147" s="203"/>
    </row>
    <row r="148" spans="2:17" s="1" customFormat="1" ht="14.4" customHeight="1" x14ac:dyDescent="0.45">
      <c r="B148" s="160"/>
      <c r="C148" s="107" t="s">
        <v>4</v>
      </c>
      <c r="D148" s="128"/>
      <c r="E148" s="84">
        <f>-IFERROR(D148/D129,0)</f>
        <v>0</v>
      </c>
      <c r="F148" s="128"/>
      <c r="G148" s="84">
        <f>-IFERROR(F148/F129,0)</f>
        <v>0</v>
      </c>
      <c r="H148" s="128"/>
      <c r="I148" s="84">
        <f>-IFERROR(H148/H129,0)</f>
        <v>0</v>
      </c>
      <c r="J148" s="128">
        <f>SUM(D148:H148)</f>
        <v>0</v>
      </c>
      <c r="K148" s="111">
        <f>-IFERROR((J148/J129),0)</f>
        <v>0</v>
      </c>
      <c r="L148"/>
      <c r="M148" s="124" t="s">
        <v>9</v>
      </c>
      <c r="N148" s="131">
        <f>IF(N139&gt;0,N139/3,0)</f>
        <v>0</v>
      </c>
      <c r="O148" s="4" t="s">
        <v>8</v>
      </c>
      <c r="P148" s="134">
        <f>IF(P139&gt;0,P139/3,0)</f>
        <v>0</v>
      </c>
      <c r="Q148" s="203"/>
    </row>
    <row r="149" spans="2:17" s="1" customFormat="1" ht="14.4" customHeight="1" x14ac:dyDescent="0.3">
      <c r="B149" s="160"/>
      <c r="C149" s="116" t="s">
        <v>25</v>
      </c>
      <c r="D149" s="137">
        <f>D129+D134+D137+D144+D146+D147+D148</f>
        <v>0</v>
      </c>
      <c r="E149" s="153">
        <f>IFERROR((D149/D129),0)</f>
        <v>0</v>
      </c>
      <c r="F149" s="137">
        <f>F129+F134+F137+F144+F146+F147+F148</f>
        <v>0</v>
      </c>
      <c r="G149" s="153">
        <f>IFERROR((F149/F129),0)</f>
        <v>0</v>
      </c>
      <c r="H149" s="137">
        <f>H129+H134+H137+H144+H146+H147+H148</f>
        <v>0</v>
      </c>
      <c r="I149" s="153">
        <f>IFERROR((H149/H129),0)</f>
        <v>0</v>
      </c>
      <c r="J149" s="137">
        <f>J129+J134+J137+J144+J146+J147+J148</f>
        <v>0</v>
      </c>
      <c r="K149" s="152">
        <f>IFERROR((J149/J129),0)</f>
        <v>0</v>
      </c>
      <c r="L149" s="98"/>
      <c r="M149" s="190"/>
      <c r="N149" s="191">
        <f>SUM(N146:N148)</f>
        <v>0</v>
      </c>
      <c r="O149" s="192"/>
      <c r="P149" s="193">
        <f>SUM(P146:P148)</f>
        <v>0</v>
      </c>
      <c r="Q149" s="203"/>
    </row>
    <row r="150" spans="2:17" s="1" customFormat="1" ht="14.4" customHeight="1" x14ac:dyDescent="0.3">
      <c r="B150" s="160"/>
      <c r="C150" s="181"/>
      <c r="D150" s="182"/>
      <c r="E150" s="183"/>
      <c r="F150" s="182"/>
      <c r="G150" s="183"/>
      <c r="H150" s="182"/>
      <c r="I150" s="183"/>
      <c r="J150" s="182"/>
      <c r="K150" s="183"/>
      <c r="L150"/>
      <c r="M150" s="158"/>
      <c r="N150" s="155"/>
      <c r="O150" s="159"/>
      <c r="P150" s="155"/>
      <c r="Q150" s="203"/>
    </row>
    <row r="151" spans="2:17" s="1" customFormat="1" ht="14.4" customHeight="1" x14ac:dyDescent="0.3">
      <c r="B151" s="160"/>
      <c r="C151" s="220" t="s">
        <v>18</v>
      </c>
      <c r="D151" s="221"/>
      <c r="E151" s="221"/>
      <c r="F151" s="221"/>
      <c r="G151" s="221"/>
      <c r="H151" s="221"/>
      <c r="I151" s="221"/>
      <c r="J151" s="222"/>
      <c r="K151" s="183"/>
      <c r="L151"/>
      <c r="M151" s="163" t="s">
        <v>69</v>
      </c>
      <c r="N151" s="164"/>
      <c r="O151" s="164"/>
      <c r="P151" s="165"/>
      <c r="Q151" s="200"/>
    </row>
    <row r="152" spans="2:17" s="1" customFormat="1" ht="14.4" customHeight="1" thickBot="1" x14ac:dyDescent="0.35">
      <c r="B152" s="160"/>
      <c r="C152" s="104"/>
      <c r="D152" s="92" t="str">
        <f>D115</f>
        <v>JULHO</v>
      </c>
      <c r="E152" s="92"/>
      <c r="F152" s="92" t="str">
        <f>F115</f>
        <v>AGOSTO</v>
      </c>
      <c r="G152" s="92"/>
      <c r="H152" s="92" t="str">
        <f>H115</f>
        <v>SETEMBRO</v>
      </c>
      <c r="I152" s="92"/>
      <c r="J152" s="105" t="str">
        <f>J115</f>
        <v>3º TRIMESTRE</v>
      </c>
      <c r="K152" s="183"/>
      <c r="L152"/>
      <c r="M152" s="99"/>
      <c r="N152" s="3"/>
      <c r="O152" s="3"/>
      <c r="P152" s="100"/>
      <c r="Q152" s="162"/>
    </row>
    <row r="153" spans="2:17" s="1" customFormat="1" ht="14.4" customHeight="1" thickTop="1" x14ac:dyDescent="0.3">
      <c r="B153" s="160"/>
      <c r="C153" s="106" t="s">
        <v>16</v>
      </c>
      <c r="D153" s="138">
        <v>0</v>
      </c>
      <c r="E153" s="138"/>
      <c r="F153" s="138">
        <v>0</v>
      </c>
      <c r="G153" s="138"/>
      <c r="H153" s="138">
        <v>0</v>
      </c>
      <c r="I153" s="138"/>
      <c r="J153" s="139">
        <f>SUM(D153:H153)/3</f>
        <v>0</v>
      </c>
      <c r="K153" s="183"/>
      <c r="L153"/>
      <c r="M153" s="99"/>
      <c r="N153" s="3"/>
      <c r="O153" s="3"/>
      <c r="P153" s="100"/>
      <c r="Q153" s="204"/>
    </row>
    <row r="154" spans="2:17" s="1" customFormat="1" ht="14.4" customHeight="1" x14ac:dyDescent="0.3">
      <c r="B154" s="160"/>
      <c r="C154" s="107" t="s">
        <v>13</v>
      </c>
      <c r="D154" s="140">
        <v>0</v>
      </c>
      <c r="E154" s="140"/>
      <c r="F154" s="140">
        <f>IFERROR(VLOOKUP(B136,#REF!,7,0),0)</f>
        <v>0</v>
      </c>
      <c r="G154" s="140"/>
      <c r="H154" s="140">
        <v>0</v>
      </c>
      <c r="I154" s="140"/>
      <c r="J154" s="141">
        <f>H154</f>
        <v>0</v>
      </c>
      <c r="K154" s="71"/>
      <c r="M154" s="99"/>
      <c r="N154" s="3"/>
      <c r="O154" s="3"/>
      <c r="P154" s="100"/>
      <c r="Q154" s="205"/>
    </row>
    <row r="155" spans="2:17" s="1" customFormat="1" ht="14.4" customHeight="1" x14ac:dyDescent="0.3">
      <c r="B155" s="206"/>
      <c r="C155" s="108" t="s">
        <v>10</v>
      </c>
      <c r="D155" s="142">
        <v>0</v>
      </c>
      <c r="E155" s="142"/>
      <c r="F155" s="142">
        <v>0</v>
      </c>
      <c r="G155" s="142"/>
      <c r="H155" s="142">
        <v>0</v>
      </c>
      <c r="I155" s="142"/>
      <c r="J155" s="143">
        <f>H155</f>
        <v>0</v>
      </c>
      <c r="K155"/>
      <c r="L155" s="161"/>
      <c r="M155" s="99"/>
      <c r="N155" s="3"/>
      <c r="O155" s="3"/>
      <c r="P155" s="100"/>
      <c r="Q155" s="200"/>
    </row>
    <row r="156" spans="2:17" s="1" customFormat="1" ht="14.4" customHeight="1" x14ac:dyDescent="0.3">
      <c r="B156" s="160"/>
      <c r="C156" s="109" t="s">
        <v>7</v>
      </c>
      <c r="D156" s="144">
        <f>D154-D155</f>
        <v>0</v>
      </c>
      <c r="E156" s="144"/>
      <c r="F156" s="144">
        <f>F154-F155</f>
        <v>0</v>
      </c>
      <c r="G156" s="144"/>
      <c r="H156" s="144">
        <f>H154-H155</f>
        <v>0</v>
      </c>
      <c r="I156" s="144"/>
      <c r="J156" s="145">
        <f>J154-J155</f>
        <v>0</v>
      </c>
      <c r="K156"/>
      <c r="M156" s="101"/>
      <c r="N156" s="102"/>
      <c r="O156" s="102"/>
      <c r="P156" s="103"/>
      <c r="Q156" s="207"/>
    </row>
    <row r="157" spans="2:17" s="1" customFormat="1" ht="14.4" customHeight="1" x14ac:dyDescent="0.3">
      <c r="B157" s="160"/>
      <c r="C157" s="198"/>
      <c r="K157"/>
      <c r="L157" s="199"/>
      <c r="Q157" s="200"/>
    </row>
    <row r="158" spans="2:17" s="1" customFormat="1" ht="14.4" customHeight="1" x14ac:dyDescent="0.3">
      <c r="B158" s="208"/>
      <c r="C158" s="209"/>
      <c r="D158" s="209"/>
      <c r="E158" s="209"/>
      <c r="F158" s="209"/>
      <c r="G158" s="209"/>
      <c r="H158" s="209"/>
      <c r="I158" s="209"/>
      <c r="J158" s="209"/>
      <c r="K158" s="210"/>
      <c r="L158" s="211"/>
      <c r="M158" s="209"/>
      <c r="N158" s="209"/>
      <c r="O158" s="209"/>
      <c r="P158" s="209"/>
      <c r="Q158" s="212"/>
    </row>
    <row r="159" spans="2:17" s="1" customFormat="1" ht="14.4" customHeight="1" x14ac:dyDescent="0.3">
      <c r="C159"/>
      <c r="D159"/>
      <c r="E159"/>
      <c r="F159"/>
      <c r="G159"/>
      <c r="H159"/>
      <c r="I159"/>
      <c r="J159"/>
      <c r="K159"/>
    </row>
    <row r="160" spans="2:17" s="1" customFormat="1" ht="14.4" customHeight="1" x14ac:dyDescent="0.3">
      <c r="B160" s="226" t="s">
        <v>80</v>
      </c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8"/>
    </row>
    <row r="161" spans="2:17" s="1" customFormat="1" ht="14.4" customHeight="1" x14ac:dyDescent="0.3">
      <c r="B161" s="160"/>
      <c r="C161"/>
      <c r="D161" s="184"/>
      <c r="E161" s="184"/>
      <c r="F161" s="184"/>
      <c r="G161" s="184"/>
      <c r="H161" s="184"/>
      <c r="I161" s="184"/>
      <c r="J161" s="184"/>
      <c r="K161" s="184"/>
      <c r="L161" s="184"/>
      <c r="M161"/>
      <c r="N161"/>
      <c r="O161"/>
      <c r="P161"/>
      <c r="Q161" s="200"/>
    </row>
    <row r="162" spans="2:17" s="1" customFormat="1" ht="14.4" customHeight="1" x14ac:dyDescent="0.3">
      <c r="B162" s="160"/>
      <c r="C162" s="220" t="s">
        <v>31</v>
      </c>
      <c r="D162" s="221"/>
      <c r="E162" s="221"/>
      <c r="F162" s="221"/>
      <c r="G162" s="221"/>
      <c r="H162" s="221"/>
      <c r="I162" s="221"/>
      <c r="J162" s="221"/>
      <c r="K162" s="222"/>
      <c r="L162" s="184"/>
      <c r="M162" s="220" t="s">
        <v>30</v>
      </c>
      <c r="N162" s="221"/>
      <c r="O162" s="221"/>
      <c r="P162" s="222"/>
      <c r="Q162" s="200"/>
    </row>
    <row r="163" spans="2:17" s="1" customFormat="1" ht="14.4" customHeight="1" x14ac:dyDescent="0.3">
      <c r="B163" s="160"/>
      <c r="C163" s="97"/>
      <c r="D163" s="184"/>
      <c r="E163" s="184"/>
      <c r="F163" s="184"/>
      <c r="G163" s="184"/>
      <c r="H163" s="184"/>
      <c r="I163" s="184"/>
      <c r="J163" s="184"/>
      <c r="K163" s="110"/>
      <c r="L163" s="184"/>
      <c r="M163" s="97"/>
      <c r="N163"/>
      <c r="O163"/>
      <c r="P163" s="98"/>
      <c r="Q163" s="200"/>
    </row>
    <row r="164" spans="2:17" s="1" customFormat="1" ht="14.4" customHeight="1" thickBot="1" x14ac:dyDescent="0.35">
      <c r="B164" s="160"/>
      <c r="C164" s="97"/>
      <c r="D164" s="184"/>
      <c r="E164" s="184"/>
      <c r="F164" s="184"/>
      <c r="G164" s="184"/>
      <c r="H164" s="184"/>
      <c r="I164" s="184"/>
      <c r="J164" s="184"/>
      <c r="K164" s="110"/>
      <c r="L164" s="184"/>
      <c r="M164" s="233" t="s">
        <v>100</v>
      </c>
      <c r="N164" s="234"/>
      <c r="O164" s="234"/>
      <c r="P164" s="235"/>
      <c r="Q164" s="200"/>
    </row>
    <row r="165" spans="2:17" s="1" customFormat="1" ht="14.4" customHeight="1" thickTop="1" x14ac:dyDescent="0.3">
      <c r="B165" s="160"/>
      <c r="C165" s="104"/>
      <c r="D165" s="92" t="s">
        <v>81</v>
      </c>
      <c r="E165" s="92" t="s">
        <v>29</v>
      </c>
      <c r="F165" s="92" t="s">
        <v>82</v>
      </c>
      <c r="G165" s="92" t="s">
        <v>29</v>
      </c>
      <c r="H165" s="92" t="s">
        <v>83</v>
      </c>
      <c r="I165" s="92" t="s">
        <v>29</v>
      </c>
      <c r="J165" s="92" t="s">
        <v>84</v>
      </c>
      <c r="K165" s="105" t="s">
        <v>29</v>
      </c>
      <c r="L165" s="185"/>
      <c r="M165" s="229" t="s">
        <v>28</v>
      </c>
      <c r="N165" s="230"/>
      <c r="O165" s="231" t="s">
        <v>23</v>
      </c>
      <c r="P165" s="232"/>
      <c r="Q165" s="200"/>
    </row>
    <row r="166" spans="2:17" s="1" customFormat="1" ht="14.4" customHeight="1" x14ac:dyDescent="0.3">
      <c r="B166" s="160">
        <v>994</v>
      </c>
      <c r="C166" s="107"/>
      <c r="D166" s="83"/>
      <c r="E166" s="83"/>
      <c r="F166" s="127"/>
      <c r="G166" s="83"/>
      <c r="H166" s="127"/>
      <c r="I166" s="83"/>
      <c r="J166" s="186"/>
      <c r="K166" s="111"/>
      <c r="L166" s="2"/>
      <c r="M166" s="118"/>
      <c r="N166" s="72"/>
      <c r="O166" s="8"/>
      <c r="P166" s="119"/>
      <c r="Q166" s="201"/>
    </row>
    <row r="167" spans="2:17" s="1" customFormat="1" ht="14.4" customHeight="1" x14ac:dyDescent="0.3">
      <c r="B167" s="160">
        <v>1022</v>
      </c>
      <c r="C167" s="107" t="s">
        <v>56</v>
      </c>
      <c r="D167" s="128"/>
      <c r="E167" s="128"/>
      <c r="F167" s="128"/>
      <c r="G167" s="128"/>
      <c r="H167" s="128"/>
      <c r="I167" s="128"/>
      <c r="J167" s="128">
        <f>SUM(D167:H167)</f>
        <v>0</v>
      </c>
      <c r="K167" s="111"/>
      <c r="L167" s="2"/>
      <c r="M167" s="118" t="s">
        <v>99</v>
      </c>
      <c r="N167" s="147">
        <f>(J167+J168+J169+J173+J174+J175+J176)</f>
        <v>0</v>
      </c>
      <c r="O167" s="8" t="s">
        <v>99</v>
      </c>
      <c r="P167" s="150">
        <f>N167</f>
        <v>0</v>
      </c>
      <c r="Q167" s="201"/>
    </row>
    <row r="168" spans="2:17" s="1" customFormat="1" ht="14.4" customHeight="1" x14ac:dyDescent="0.3">
      <c r="B168" s="160">
        <v>1085</v>
      </c>
      <c r="C168" s="107" t="s">
        <v>58</v>
      </c>
      <c r="D168" s="128"/>
      <c r="E168" s="128"/>
      <c r="F168" s="128"/>
      <c r="G168" s="128"/>
      <c r="H168" s="128"/>
      <c r="I168" s="128"/>
      <c r="J168" s="128">
        <f t="shared" ref="J168:J177" si="17">SUM(D168:H168)</f>
        <v>0</v>
      </c>
      <c r="K168" s="111"/>
      <c r="L168" s="2"/>
      <c r="M168" s="118" t="s">
        <v>94</v>
      </c>
      <c r="N168" s="148">
        <f>J178</f>
        <v>0</v>
      </c>
      <c r="O168" s="8" t="s">
        <v>94</v>
      </c>
      <c r="P168" s="150">
        <f>N168</f>
        <v>0</v>
      </c>
      <c r="Q168" s="201"/>
    </row>
    <row r="169" spans="2:17" s="1" customFormat="1" ht="14.4" customHeight="1" x14ac:dyDescent="0.3">
      <c r="B169" s="160">
        <v>1176</v>
      </c>
      <c r="C169" s="107" t="s">
        <v>59</v>
      </c>
      <c r="D169" s="128"/>
      <c r="E169" s="128"/>
      <c r="F169" s="128"/>
      <c r="G169" s="128"/>
      <c r="H169" s="128"/>
      <c r="I169" s="128"/>
      <c r="J169" s="128">
        <f t="shared" si="17"/>
        <v>0</v>
      </c>
      <c r="K169" s="111"/>
      <c r="L169" s="2"/>
      <c r="M169" s="118" t="s">
        <v>95</v>
      </c>
      <c r="N169" s="147">
        <f>J181</f>
        <v>0</v>
      </c>
      <c r="O169" s="8" t="s">
        <v>95</v>
      </c>
      <c r="P169" s="150">
        <f>N169</f>
        <v>0</v>
      </c>
      <c r="Q169" s="201"/>
    </row>
    <row r="170" spans="2:17" s="1" customFormat="1" ht="14.4" customHeight="1" x14ac:dyDescent="0.3">
      <c r="B170" s="160">
        <v>5139</v>
      </c>
      <c r="C170" s="107" t="s">
        <v>57</v>
      </c>
      <c r="D170" s="128"/>
      <c r="E170" s="128"/>
      <c r="F170" s="128"/>
      <c r="G170" s="128"/>
      <c r="H170" s="128"/>
      <c r="I170" s="128"/>
      <c r="J170" s="128">
        <f t="shared" si="17"/>
        <v>0</v>
      </c>
      <c r="K170" s="111"/>
      <c r="L170" s="2"/>
      <c r="M170" s="118" t="s">
        <v>96</v>
      </c>
      <c r="N170" s="148">
        <f>J182</f>
        <v>0</v>
      </c>
      <c r="O170" s="8" t="s">
        <v>96</v>
      </c>
      <c r="P170" s="157">
        <f>N170</f>
        <v>0</v>
      </c>
      <c r="Q170" s="201"/>
    </row>
    <row r="171" spans="2:17" s="1" customFormat="1" ht="14.4" customHeight="1" x14ac:dyDescent="0.3">
      <c r="B171" s="160">
        <v>1197</v>
      </c>
      <c r="C171" s="107" t="s">
        <v>60</v>
      </c>
      <c r="D171" s="128"/>
      <c r="E171" s="128"/>
      <c r="F171" s="128"/>
      <c r="G171" s="128"/>
      <c r="H171" s="128"/>
      <c r="I171" s="128"/>
      <c r="J171" s="128">
        <f t="shared" si="17"/>
        <v>0</v>
      </c>
      <c r="K171" s="111"/>
      <c r="L171" s="2"/>
      <c r="M171" s="122" t="s">
        <v>108</v>
      </c>
      <c r="N171" s="172">
        <f>SUM(N167:N170)</f>
        <v>0</v>
      </c>
      <c r="O171" s="8" t="s">
        <v>108</v>
      </c>
      <c r="P171" s="166">
        <f>SUM(P167:P170)</f>
        <v>0</v>
      </c>
      <c r="Q171" s="201"/>
    </row>
    <row r="172" spans="2:17" s="1" customFormat="1" ht="14.4" customHeight="1" x14ac:dyDescent="0.3">
      <c r="B172" s="160"/>
      <c r="C172" s="107" t="s">
        <v>88</v>
      </c>
      <c r="D172" s="128"/>
      <c r="E172" s="128"/>
      <c r="F172" s="128"/>
      <c r="G172" s="128"/>
      <c r="H172" s="128"/>
      <c r="I172" s="128"/>
      <c r="J172" s="128">
        <f t="shared" si="17"/>
        <v>0</v>
      </c>
      <c r="K172" s="111"/>
      <c r="L172" s="9"/>
      <c r="M172" s="120" t="s">
        <v>101</v>
      </c>
      <c r="N172" s="179">
        <f>(N171*8%)</f>
        <v>0</v>
      </c>
      <c r="O172" s="174" t="s">
        <v>102</v>
      </c>
      <c r="P172" s="176">
        <f>(P171*12%)</f>
        <v>0</v>
      </c>
      <c r="Q172" s="201"/>
    </row>
    <row r="173" spans="2:17" s="1" customFormat="1" ht="14.4" customHeight="1" x14ac:dyDescent="0.3">
      <c r="B173" s="160"/>
      <c r="C173" s="107" t="s">
        <v>89</v>
      </c>
      <c r="D173" s="128"/>
      <c r="E173" s="128"/>
      <c r="F173" s="128"/>
      <c r="G173" s="128"/>
      <c r="H173" s="128"/>
      <c r="I173" s="128"/>
      <c r="J173" s="128">
        <f t="shared" si="17"/>
        <v>0</v>
      </c>
      <c r="K173" s="111"/>
      <c r="L173" s="7"/>
      <c r="M173" s="122"/>
      <c r="N173" s="172"/>
      <c r="O173" s="171"/>
      <c r="P173" s="156"/>
      <c r="Q173" s="201"/>
    </row>
    <row r="174" spans="2:17" s="1" customFormat="1" ht="14.4" customHeight="1" thickBot="1" x14ac:dyDescent="0.35">
      <c r="B174" s="160"/>
      <c r="C174" s="107" t="s">
        <v>90</v>
      </c>
      <c r="D174" s="128"/>
      <c r="E174" s="128"/>
      <c r="F174" s="128"/>
      <c r="G174" s="128"/>
      <c r="H174" s="128"/>
      <c r="I174" s="128"/>
      <c r="J174" s="128">
        <f t="shared" si="17"/>
        <v>0</v>
      </c>
      <c r="K174" s="111"/>
      <c r="L174"/>
      <c r="M174" s="213" t="s">
        <v>103</v>
      </c>
      <c r="N174" s="214"/>
      <c r="O174" s="214"/>
      <c r="P174" s="215"/>
      <c r="Q174" s="201"/>
    </row>
    <row r="175" spans="2:17" s="1" customFormat="1" ht="14.4" customHeight="1" thickTop="1" x14ac:dyDescent="0.3">
      <c r="B175" s="160"/>
      <c r="C175" s="107" t="s">
        <v>91</v>
      </c>
      <c r="D175" s="128"/>
      <c r="E175" s="128"/>
      <c r="F175" s="128"/>
      <c r="G175" s="128"/>
      <c r="H175" s="128"/>
      <c r="I175" s="128"/>
      <c r="J175" s="128">
        <f t="shared" si="17"/>
        <v>0</v>
      </c>
      <c r="K175" s="111"/>
      <c r="L175" s="2"/>
      <c r="M175" s="121"/>
      <c r="N175" s="147"/>
      <c r="O175" s="10"/>
      <c r="P175" s="150"/>
      <c r="Q175" s="201"/>
    </row>
    <row r="176" spans="2:17" s="1" customFormat="1" ht="14.4" customHeight="1" x14ac:dyDescent="0.3">
      <c r="B176" s="160"/>
      <c r="C176" s="107" t="s">
        <v>92</v>
      </c>
      <c r="D176" s="128"/>
      <c r="E176" s="128"/>
      <c r="F176" s="128"/>
      <c r="G176" s="128"/>
      <c r="H176" s="128"/>
      <c r="I176" s="128"/>
      <c r="J176" s="128">
        <f t="shared" si="17"/>
        <v>0</v>
      </c>
      <c r="K176" s="111"/>
      <c r="L176" s="2"/>
      <c r="M176" s="118" t="s">
        <v>104</v>
      </c>
      <c r="N176" s="149">
        <f>J170</f>
        <v>0</v>
      </c>
      <c r="O176" s="118" t="s">
        <v>104</v>
      </c>
      <c r="P176" s="170">
        <f>N176</f>
        <v>0</v>
      </c>
      <c r="Q176" s="201"/>
    </row>
    <row r="177" spans="2:17" s="1" customFormat="1" ht="14.4" customHeight="1" x14ac:dyDescent="0.3">
      <c r="B177" s="160"/>
      <c r="C177" s="107" t="s">
        <v>93</v>
      </c>
      <c r="D177" s="128"/>
      <c r="E177" s="128"/>
      <c r="F177" s="128"/>
      <c r="G177" s="128"/>
      <c r="H177" s="128"/>
      <c r="I177" s="128"/>
      <c r="J177" s="128">
        <f t="shared" si="17"/>
        <v>0</v>
      </c>
      <c r="K177" s="111"/>
      <c r="L177" s="2"/>
      <c r="M177" s="118" t="s">
        <v>105</v>
      </c>
      <c r="N177" s="149">
        <f>J171</f>
        <v>0</v>
      </c>
      <c r="O177" s="118" t="s">
        <v>105</v>
      </c>
      <c r="P177" s="170">
        <f>N177</f>
        <v>0</v>
      </c>
      <c r="Q177" s="201"/>
    </row>
    <row r="178" spans="2:17" s="1" customFormat="1" ht="14.4" customHeight="1" x14ac:dyDescent="0.3">
      <c r="B178" s="160">
        <v>3276</v>
      </c>
      <c r="C178" s="107" t="s">
        <v>61</v>
      </c>
      <c r="D178" s="128"/>
      <c r="E178" s="128"/>
      <c r="F178" s="128"/>
      <c r="G178" s="128"/>
      <c r="H178" s="128"/>
      <c r="I178" s="128"/>
      <c r="J178" s="128">
        <f>SUM(D178:H178)</f>
        <v>0</v>
      </c>
      <c r="K178" s="111"/>
      <c r="L178" s="2"/>
      <c r="M178" s="120" t="s">
        <v>106</v>
      </c>
      <c r="N178" s="179">
        <f>(N176*32%)+(N177*32%)</f>
        <v>0</v>
      </c>
      <c r="O178" s="174" t="s">
        <v>107</v>
      </c>
      <c r="P178" s="176">
        <f>(P176*32%)+(P177*32%)</f>
        <v>0</v>
      </c>
      <c r="Q178" s="201"/>
    </row>
    <row r="179" spans="2:17" s="1" customFormat="1" ht="14.4" customHeight="1" x14ac:dyDescent="0.3">
      <c r="B179" s="160"/>
      <c r="C179" s="112" t="s">
        <v>27</v>
      </c>
      <c r="D179" s="129">
        <f>SUM(D167:D178)</f>
        <v>0</v>
      </c>
      <c r="E179" s="129"/>
      <c r="F179" s="129">
        <f>SUM(F167:F178)</f>
        <v>0</v>
      </c>
      <c r="G179" s="129"/>
      <c r="H179" s="129">
        <f>SUM(H167:H178)</f>
        <v>0</v>
      </c>
      <c r="I179" s="129"/>
      <c r="J179" s="129">
        <f>SUM(J167:J178)</f>
        <v>0</v>
      </c>
      <c r="K179" s="113"/>
      <c r="L179" s="2"/>
      <c r="M179" s="122"/>
      <c r="N179" s="172"/>
      <c r="O179" s="171"/>
      <c r="P179" s="166"/>
      <c r="Q179" s="201"/>
    </row>
    <row r="180" spans="2:17" s="1" customFormat="1" ht="14.4" customHeight="1" thickBot="1" x14ac:dyDescent="0.35">
      <c r="B180" s="160"/>
      <c r="C180" s="114"/>
      <c r="D180" s="189"/>
      <c r="E180" s="189"/>
      <c r="F180" s="189"/>
      <c r="G180" s="189"/>
      <c r="H180" s="189"/>
      <c r="I180" s="189"/>
      <c r="J180" s="189"/>
      <c r="K180" s="115"/>
      <c r="L180" s="2"/>
      <c r="M180" s="213" t="s">
        <v>109</v>
      </c>
      <c r="N180" s="214"/>
      <c r="O180" s="214"/>
      <c r="P180" s="216"/>
      <c r="Q180" s="201"/>
    </row>
    <row r="181" spans="2:17" s="1" customFormat="1" ht="14.4" customHeight="1" thickTop="1" x14ac:dyDescent="0.3">
      <c r="B181" s="160"/>
      <c r="C181" s="107" t="s">
        <v>97</v>
      </c>
      <c r="D181" s="146"/>
      <c r="E181" s="146"/>
      <c r="F181" s="146"/>
      <c r="G181" s="146"/>
      <c r="H181" s="146"/>
      <c r="I181" s="146"/>
      <c r="J181" s="135">
        <f t="shared" ref="J181:J182" si="18">SUM(D181:H181)</f>
        <v>0</v>
      </c>
      <c r="K181" s="167"/>
      <c r="L181" s="2"/>
      <c r="M181" s="122"/>
      <c r="N181" s="172"/>
      <c r="O181" s="10"/>
      <c r="P181" s="166"/>
      <c r="Q181" s="201"/>
    </row>
    <row r="182" spans="2:17" s="1" customFormat="1" ht="14.4" customHeight="1" x14ac:dyDescent="0.3">
      <c r="B182" s="160"/>
      <c r="C182" s="107" t="s">
        <v>98</v>
      </c>
      <c r="D182" s="168"/>
      <c r="E182" s="168"/>
      <c r="F182" s="168"/>
      <c r="G182" s="168"/>
      <c r="H182" s="146"/>
      <c r="I182" s="168"/>
      <c r="J182" s="135">
        <f t="shared" si="18"/>
        <v>0</v>
      </c>
      <c r="K182" s="167"/>
      <c r="L182" s="2"/>
      <c r="M182" s="118" t="s">
        <v>110</v>
      </c>
      <c r="N182" s="148"/>
      <c r="O182" s="8" t="s">
        <v>110</v>
      </c>
      <c r="P182" s="178">
        <f>N182</f>
        <v>0</v>
      </c>
      <c r="Q182" s="200"/>
    </row>
    <row r="183" spans="2:17" s="1" customFormat="1" ht="14.4" customHeight="1" x14ac:dyDescent="0.3">
      <c r="B183" s="160"/>
      <c r="C183" s="107" t="s">
        <v>62</v>
      </c>
      <c r="D183" s="135"/>
      <c r="E183" s="169">
        <f>-IFERROR((D183/D179),0)</f>
        <v>0</v>
      </c>
      <c r="F183" s="135"/>
      <c r="G183" s="169">
        <f>-IFERROR((F183/F179),0)</f>
        <v>0</v>
      </c>
      <c r="H183" s="135"/>
      <c r="I183" s="169">
        <f>-IFERROR((H183/H179),0)</f>
        <v>0</v>
      </c>
      <c r="J183" s="135">
        <f>SUM(D183:H183)</f>
        <v>0</v>
      </c>
      <c r="K183" s="111">
        <f>-IFERROR((J183/J179),0)</f>
        <v>0</v>
      </c>
      <c r="L183"/>
      <c r="M183" s="120" t="s">
        <v>111</v>
      </c>
      <c r="N183" s="179">
        <f>(N182*100%)</f>
        <v>0</v>
      </c>
      <c r="O183" s="174" t="s">
        <v>112</v>
      </c>
      <c r="P183" s="176">
        <f>(P182*100%)</f>
        <v>0</v>
      </c>
      <c r="Q183" s="200"/>
    </row>
    <row r="184" spans="2:17" s="1" customFormat="1" ht="14.4" customHeight="1" x14ac:dyDescent="0.3">
      <c r="B184" s="160"/>
      <c r="C184" s="112" t="s">
        <v>63</v>
      </c>
      <c r="D184" s="129">
        <f>SUM(D181:D183)</f>
        <v>0</v>
      </c>
      <c r="E184" s="154"/>
      <c r="F184" s="129">
        <f>SUM(F181:F183)</f>
        <v>0</v>
      </c>
      <c r="G184" s="154"/>
      <c r="H184" s="129">
        <f>SUM(H181:H183)</f>
        <v>0</v>
      </c>
      <c r="I184" s="154"/>
      <c r="J184" s="129">
        <f>SUM(J181:J183)</f>
        <v>0</v>
      </c>
      <c r="K184" s="113"/>
      <c r="L184"/>
      <c r="M184" s="122"/>
      <c r="N184" s="172"/>
      <c r="O184" s="171"/>
      <c r="P184" s="166"/>
      <c r="Q184" s="200"/>
    </row>
    <row r="185" spans="2:17" s="1" customFormat="1" ht="14.4" customHeight="1" x14ac:dyDescent="0.3">
      <c r="B185" s="160"/>
      <c r="C185" s="114"/>
      <c r="D185" s="82"/>
      <c r="E185" s="82"/>
      <c r="F185" s="82"/>
      <c r="G185" s="82"/>
      <c r="H185" s="82"/>
      <c r="I185" s="82"/>
      <c r="J185" s="82"/>
      <c r="K185" s="115"/>
      <c r="L185"/>
      <c r="M185" s="120" t="s">
        <v>113</v>
      </c>
      <c r="N185" s="179">
        <f>(N172+N178+N183)</f>
        <v>0</v>
      </c>
      <c r="O185" s="173"/>
      <c r="P185" s="176">
        <f>(P172+P178+P183)</f>
        <v>0</v>
      </c>
      <c r="Q185" s="200"/>
    </row>
    <row r="186" spans="2:17" s="1" customFormat="1" ht="14.4" customHeight="1" x14ac:dyDescent="0.3">
      <c r="B186" s="160">
        <v>266</v>
      </c>
      <c r="C186" s="107" t="s">
        <v>53</v>
      </c>
      <c r="D186" s="135">
        <v>0</v>
      </c>
      <c r="E186" s="135"/>
      <c r="F186" s="135">
        <v>0</v>
      </c>
      <c r="G186" s="135"/>
      <c r="H186" s="135">
        <v>0</v>
      </c>
      <c r="I186" s="135"/>
      <c r="J186" s="135">
        <f>SUM(D186:H186)</f>
        <v>0</v>
      </c>
      <c r="K186" s="111">
        <f>-IFERROR((J186/J179),0)</f>
        <v>0</v>
      </c>
      <c r="L186"/>
      <c r="M186" s="122" t="s">
        <v>24</v>
      </c>
      <c r="N186" s="151">
        <f>IF(N185&gt;0,N185*15%,0)</f>
        <v>0</v>
      </c>
      <c r="O186" s="6" t="s">
        <v>23</v>
      </c>
      <c r="P186" s="177">
        <f>IF(P185&gt;0,P185*9%,0)</f>
        <v>0</v>
      </c>
      <c r="Q186" s="200"/>
    </row>
    <row r="187" spans="2:17" s="1" customFormat="1" ht="14.4" customHeight="1" x14ac:dyDescent="0.3">
      <c r="B187" s="160"/>
      <c r="C187" s="112" t="s">
        <v>52</v>
      </c>
      <c r="D187" s="129">
        <f>D186</f>
        <v>0</v>
      </c>
      <c r="E187" s="95"/>
      <c r="F187" s="129">
        <f t="shared" ref="F187" si="19">F186</f>
        <v>0</v>
      </c>
      <c r="G187" s="95"/>
      <c r="H187" s="129">
        <f t="shared" ref="H187" si="20">H186</f>
        <v>0</v>
      </c>
      <c r="I187" s="95"/>
      <c r="J187" s="129">
        <f>J186</f>
        <v>0</v>
      </c>
      <c r="K187" s="113"/>
      <c r="L187"/>
      <c r="M187" s="122" t="s">
        <v>22</v>
      </c>
      <c r="N187" s="175">
        <f>IF((N185-60000)*10%&gt;0,(N185-60000)*10%,0)</f>
        <v>0</v>
      </c>
      <c r="O187" s="6"/>
      <c r="P187" s="170"/>
      <c r="Q187" s="200"/>
    </row>
    <row r="188" spans="2:17" s="1" customFormat="1" ht="14.4" customHeight="1" x14ac:dyDescent="0.3">
      <c r="B188" s="160"/>
      <c r="C188" s="114"/>
      <c r="D188" s="82"/>
      <c r="E188" s="82"/>
      <c r="F188" s="82"/>
      <c r="G188" s="82"/>
      <c r="H188" s="82"/>
      <c r="I188" s="82"/>
      <c r="J188" s="82"/>
      <c r="K188" s="115"/>
      <c r="L188"/>
      <c r="M188" s="122" t="s">
        <v>85</v>
      </c>
      <c r="N188" s="146"/>
      <c r="O188" s="6" t="s">
        <v>21</v>
      </c>
      <c r="P188" s="180">
        <v>0</v>
      </c>
      <c r="Q188" s="200"/>
    </row>
    <row r="189" spans="2:17" s="1" customFormat="1" ht="14.4" customHeight="1" thickBot="1" x14ac:dyDescent="0.35">
      <c r="B189" s="160"/>
      <c r="C189" s="107" t="s">
        <v>26</v>
      </c>
      <c r="D189" s="128"/>
      <c r="E189" s="84">
        <f>-IFERROR((D189/D179),0)</f>
        <v>0</v>
      </c>
      <c r="F189" s="128"/>
      <c r="G189" s="84">
        <f>-IFERROR((F189/F179),0)</f>
        <v>0</v>
      </c>
      <c r="H189" s="128"/>
      <c r="I189" s="84">
        <f>-IFERROR((H189/H179),0)</f>
        <v>0</v>
      </c>
      <c r="J189" s="128">
        <f>SUM(D189:H189)</f>
        <v>0</v>
      </c>
      <c r="K189" s="111">
        <f>-IFERROR((J189/J179),0)</f>
        <v>0</v>
      </c>
      <c r="L189"/>
      <c r="M189" s="194" t="s">
        <v>65</v>
      </c>
      <c r="N189" s="196">
        <f>IFERROR(IF(N186+N187&lt;0,0,N186+N187+N188),0)</f>
        <v>0</v>
      </c>
      <c r="O189" s="195" t="s">
        <v>66</v>
      </c>
      <c r="P189" s="197">
        <f>IFERROR(IF(P186+P187&lt;0,0,P186+P187+P188),0)</f>
        <v>0</v>
      </c>
      <c r="Q189" s="200"/>
    </row>
    <row r="190" spans="2:17" s="1" customFormat="1" ht="14.4" customHeight="1" thickTop="1" x14ac:dyDescent="0.3">
      <c r="B190" s="160"/>
      <c r="C190" s="107" t="s">
        <v>54</v>
      </c>
      <c r="D190" s="128"/>
      <c r="E190" s="84">
        <f>-IFERROR((D190/D179),0)</f>
        <v>0</v>
      </c>
      <c r="F190" s="128"/>
      <c r="G190" s="84">
        <f>-IFERROR(F190/F179,0)</f>
        <v>0</v>
      </c>
      <c r="H190" s="128"/>
      <c r="I190" s="84">
        <f>-IFERROR(H190/H179,0)</f>
        <v>0</v>
      </c>
      <c r="J190" s="128">
        <f>SUM(D190:H190)</f>
        <v>0</v>
      </c>
      <c r="K190" s="111">
        <f>-IFERROR((J190/J179),0)</f>
        <v>0</v>
      </c>
      <c r="L190"/>
      <c r="M190" s="97"/>
      <c r="N190"/>
      <c r="O190"/>
      <c r="P190" s="98"/>
      <c r="Q190" s="200"/>
    </row>
    <row r="191" spans="2:17" s="1" customFormat="1" ht="14.4" customHeight="1" x14ac:dyDescent="0.3">
      <c r="B191" s="160"/>
      <c r="C191" s="107" t="s">
        <v>55</v>
      </c>
      <c r="D191" s="128"/>
      <c r="E191" s="84">
        <f>-IFERROR((D191/D179),0)</f>
        <v>0</v>
      </c>
      <c r="F191" s="128"/>
      <c r="G191" s="84">
        <f>-IFERROR(F191/F179,0)</f>
        <v>0</v>
      </c>
      <c r="H191" s="128"/>
      <c r="I191" s="84">
        <f>-IFERROR(H191/H179,0)</f>
        <v>0</v>
      </c>
      <c r="J191" s="128">
        <f>SUM(D191:H191)</f>
        <v>0</v>
      </c>
      <c r="K191" s="111">
        <f>-IFERROR((J191/J179),0)</f>
        <v>0</v>
      </c>
      <c r="L191"/>
      <c r="M191" s="126" t="s">
        <v>20</v>
      </c>
      <c r="N191" s="187"/>
      <c r="O191" s="188"/>
      <c r="P191" s="125">
        <f>(N189+P189)</f>
        <v>0</v>
      </c>
      <c r="Q191" s="200"/>
    </row>
    <row r="192" spans="2:17" s="1" customFormat="1" ht="14.4" customHeight="1" x14ac:dyDescent="0.3">
      <c r="B192" s="160"/>
      <c r="C192" s="107" t="s">
        <v>86</v>
      </c>
      <c r="D192" s="128"/>
      <c r="E192" s="84">
        <f>-IFERROR((D192/D179),0)</f>
        <v>0</v>
      </c>
      <c r="F192" s="128"/>
      <c r="G192" s="84">
        <f>-IFERROR(F192/F179,0)</f>
        <v>0</v>
      </c>
      <c r="H192" s="128"/>
      <c r="I192" s="84">
        <f>-IFERROR(H192/H179,0)</f>
        <v>0</v>
      </c>
      <c r="J192" s="128">
        <f t="shared" ref="J192:J193" si="21">SUM(D192:H192)</f>
        <v>0</v>
      </c>
      <c r="K192" s="111">
        <f>-IFERROR((J192/J179),0)</f>
        <v>0</v>
      </c>
      <c r="L192"/>
      <c r="M192" s="126" t="s">
        <v>19</v>
      </c>
      <c r="N192" s="187"/>
      <c r="O192" s="188"/>
      <c r="P192" s="125">
        <f>(J199-N186-N187-P186)</f>
        <v>0</v>
      </c>
      <c r="Q192" s="200"/>
    </row>
    <row r="193" spans="2:17" s="1" customFormat="1" ht="14.4" customHeight="1" x14ac:dyDescent="0.3">
      <c r="B193" s="160">
        <v>2079</v>
      </c>
      <c r="C193" s="107" t="s">
        <v>87</v>
      </c>
      <c r="D193" s="128"/>
      <c r="E193" s="84">
        <f>-IFERROR((D193/D179),0)</f>
        <v>0</v>
      </c>
      <c r="F193" s="128"/>
      <c r="G193" s="84">
        <f>-IFERROR(F193/F179,0)</f>
        <v>0</v>
      </c>
      <c r="H193" s="128"/>
      <c r="I193" s="84">
        <f>-IFERROR(H193/H179,0)</f>
        <v>0</v>
      </c>
      <c r="J193" s="128">
        <f t="shared" si="21"/>
        <v>0</v>
      </c>
      <c r="K193" s="111">
        <f>-IFERROR((J193/J179),0)</f>
        <v>0</v>
      </c>
      <c r="L193"/>
      <c r="M193" s="97"/>
      <c r="N193"/>
      <c r="O193"/>
      <c r="P193" s="98"/>
      <c r="Q193" s="200"/>
    </row>
    <row r="194" spans="2:17" s="1" customFormat="1" ht="14.4" customHeight="1" thickBot="1" x14ac:dyDescent="0.35">
      <c r="B194" s="160"/>
      <c r="C194" s="112" t="s">
        <v>5</v>
      </c>
      <c r="D194" s="129">
        <f t="shared" ref="D194:J194" si="22">SUM(D189:D193)</f>
        <v>0</v>
      </c>
      <c r="E194" s="96"/>
      <c r="F194" s="129">
        <f t="shared" si="22"/>
        <v>0</v>
      </c>
      <c r="G194" s="96"/>
      <c r="H194" s="129">
        <f t="shared" si="22"/>
        <v>0</v>
      </c>
      <c r="I194" s="96"/>
      <c r="J194" s="129">
        <f t="shared" si="22"/>
        <v>0</v>
      </c>
      <c r="K194" s="113"/>
      <c r="L194"/>
      <c r="M194" s="217" t="s">
        <v>17</v>
      </c>
      <c r="N194" s="218"/>
      <c r="O194" s="218"/>
      <c r="P194" s="219"/>
      <c r="Q194" s="200"/>
    </row>
    <row r="195" spans="2:17" s="1" customFormat="1" ht="14.4" customHeight="1" thickTop="1" thickBot="1" x14ac:dyDescent="0.35">
      <c r="B195" s="160">
        <v>2849</v>
      </c>
      <c r="C195" s="114"/>
      <c r="D195" s="82"/>
      <c r="E195" s="82"/>
      <c r="F195" s="82"/>
      <c r="G195" s="82"/>
      <c r="H195" s="82"/>
      <c r="I195" s="82"/>
      <c r="J195" s="82"/>
      <c r="K195" s="115"/>
      <c r="L195"/>
      <c r="M195" s="117" t="s">
        <v>28</v>
      </c>
      <c r="N195" s="94" t="str">
        <f>J165</f>
        <v>4º TRIMESTRE</v>
      </c>
      <c r="O195" s="93" t="s">
        <v>23</v>
      </c>
      <c r="P195" s="123" t="str">
        <f>N195</f>
        <v>4º TRIMESTRE</v>
      </c>
      <c r="Q195" s="202"/>
    </row>
    <row r="196" spans="2:17" s="1" customFormat="1" ht="14.4" customHeight="1" thickTop="1" x14ac:dyDescent="0.3">
      <c r="B196" s="160"/>
      <c r="C196" s="107" t="s">
        <v>6</v>
      </c>
      <c r="D196" s="136"/>
      <c r="E196" s="84">
        <f>-IFERROR(D196/D179,0)</f>
        <v>0</v>
      </c>
      <c r="F196" s="136"/>
      <c r="G196" s="84">
        <f>-IFERROR(F196/F179,0)</f>
        <v>0</v>
      </c>
      <c r="H196" s="136"/>
      <c r="I196" s="84">
        <f>-IFERROR(H196/H179,0)</f>
        <v>0</v>
      </c>
      <c r="J196" s="136">
        <f>SUM(D196:H196)</f>
        <v>0</v>
      </c>
      <c r="K196" s="111">
        <f>-IFERROR((J196/J179),0)</f>
        <v>0</v>
      </c>
      <c r="L196"/>
      <c r="M196" s="124" t="s">
        <v>15</v>
      </c>
      <c r="N196" s="130">
        <f>IF(N189&gt;0,N189/3,0)</f>
        <v>0</v>
      </c>
      <c r="O196" s="5" t="s">
        <v>14</v>
      </c>
      <c r="P196" s="132">
        <f>IF(P189&gt;0,P189/3,0)</f>
        <v>0</v>
      </c>
      <c r="Q196" s="203"/>
    </row>
    <row r="197" spans="2:17" s="1" customFormat="1" ht="14.4" customHeight="1" x14ac:dyDescent="0.3">
      <c r="B197" s="160"/>
      <c r="C197" s="107" t="s">
        <v>3</v>
      </c>
      <c r="D197" s="136"/>
      <c r="E197" s="84">
        <f>-IFERROR(D197/D179,0)</f>
        <v>0</v>
      </c>
      <c r="F197" s="136"/>
      <c r="G197" s="84">
        <f>-IFERROR(F197/F179,0)</f>
        <v>0</v>
      </c>
      <c r="H197" s="136"/>
      <c r="I197" s="84">
        <f>-IFERROR(H197/H179,0)</f>
        <v>0</v>
      </c>
      <c r="J197" s="136">
        <f>SUM(D197:H197)</f>
        <v>0</v>
      </c>
      <c r="K197" s="111">
        <f>-IFERROR((J197/J179),0)</f>
        <v>0</v>
      </c>
      <c r="L197"/>
      <c r="M197" s="124" t="s">
        <v>12</v>
      </c>
      <c r="N197" s="130">
        <f>IF(N189&gt;0,N189/3,0)</f>
        <v>0</v>
      </c>
      <c r="O197" s="4" t="s">
        <v>11</v>
      </c>
      <c r="P197" s="133">
        <f>IF(P189&gt;0,P189/3,0)</f>
        <v>0</v>
      </c>
      <c r="Q197" s="203"/>
    </row>
    <row r="198" spans="2:17" s="1" customFormat="1" ht="14.4" customHeight="1" x14ac:dyDescent="0.45">
      <c r="B198" s="160"/>
      <c r="C198" s="107" t="s">
        <v>4</v>
      </c>
      <c r="D198" s="128"/>
      <c r="E198" s="84">
        <f>-IFERROR(D198/D179,0)</f>
        <v>0</v>
      </c>
      <c r="F198" s="128"/>
      <c r="G198" s="84">
        <f>-IFERROR(F198/F179,0)</f>
        <v>0</v>
      </c>
      <c r="H198" s="128"/>
      <c r="I198" s="84">
        <f>-IFERROR(H198/H179,0)</f>
        <v>0</v>
      </c>
      <c r="J198" s="128">
        <f>SUM(D198:H198)</f>
        <v>0</v>
      </c>
      <c r="K198" s="111">
        <f>-IFERROR((J198/J179),0)</f>
        <v>0</v>
      </c>
      <c r="L198"/>
      <c r="M198" s="124" t="s">
        <v>9</v>
      </c>
      <c r="N198" s="131">
        <f>IF(N189&gt;0,N189/3,0)</f>
        <v>0</v>
      </c>
      <c r="O198" s="4" t="s">
        <v>8</v>
      </c>
      <c r="P198" s="134">
        <f>IF(P189&gt;0,P189/3,0)</f>
        <v>0</v>
      </c>
      <c r="Q198" s="203"/>
    </row>
    <row r="199" spans="2:17" s="1" customFormat="1" ht="14.4" customHeight="1" x14ac:dyDescent="0.3">
      <c r="B199" s="160"/>
      <c r="C199" s="116" t="s">
        <v>25</v>
      </c>
      <c r="D199" s="137">
        <f>D179+D184+D187+D194+D196+D197+D198</f>
        <v>0</v>
      </c>
      <c r="E199" s="153">
        <f>IFERROR((D199/D179),0)</f>
        <v>0</v>
      </c>
      <c r="F199" s="137">
        <f>F179+F184+F187+F194+F196+F197+F198</f>
        <v>0</v>
      </c>
      <c r="G199" s="153">
        <f>IFERROR((F199/F179),0)</f>
        <v>0</v>
      </c>
      <c r="H199" s="137">
        <f>H179+H184+H187+H194+H196+H197+H198</f>
        <v>0</v>
      </c>
      <c r="I199" s="153">
        <f>IFERROR((H199/H179),0)</f>
        <v>0</v>
      </c>
      <c r="J199" s="137">
        <f>J179+J184+J187+J194+J196+J197+J198</f>
        <v>0</v>
      </c>
      <c r="K199" s="152">
        <f>IFERROR((J199/J179),0)</f>
        <v>0</v>
      </c>
      <c r="L199" s="98"/>
      <c r="M199" s="190"/>
      <c r="N199" s="191">
        <f>SUM(N196:N198)</f>
        <v>0</v>
      </c>
      <c r="O199" s="192"/>
      <c r="P199" s="193">
        <f>SUM(P196:P198)</f>
        <v>0</v>
      </c>
      <c r="Q199" s="203"/>
    </row>
    <row r="200" spans="2:17" s="1" customFormat="1" ht="14.4" customHeight="1" x14ac:dyDescent="0.3">
      <c r="B200" s="160"/>
      <c r="C200" s="181"/>
      <c r="D200" s="182"/>
      <c r="E200" s="183"/>
      <c r="F200" s="182"/>
      <c r="G200" s="183"/>
      <c r="H200" s="182"/>
      <c r="I200" s="183"/>
      <c r="J200" s="182"/>
      <c r="K200" s="183"/>
      <c r="L200"/>
      <c r="M200" s="158"/>
      <c r="N200" s="155"/>
      <c r="O200" s="159"/>
      <c r="P200" s="155"/>
      <c r="Q200" s="203"/>
    </row>
    <row r="201" spans="2:17" s="1" customFormat="1" ht="14.4" customHeight="1" x14ac:dyDescent="0.3">
      <c r="B201" s="160"/>
      <c r="C201" s="220" t="s">
        <v>18</v>
      </c>
      <c r="D201" s="221"/>
      <c r="E201" s="221"/>
      <c r="F201" s="221"/>
      <c r="G201" s="221"/>
      <c r="H201" s="221"/>
      <c r="I201" s="221"/>
      <c r="J201" s="222"/>
      <c r="K201" s="183"/>
      <c r="L201"/>
      <c r="M201" s="163" t="s">
        <v>69</v>
      </c>
      <c r="N201" s="164"/>
      <c r="O201" s="164"/>
      <c r="P201" s="165"/>
      <c r="Q201" s="200"/>
    </row>
    <row r="202" spans="2:17" s="1" customFormat="1" ht="14.4" customHeight="1" thickBot="1" x14ac:dyDescent="0.35">
      <c r="B202" s="160"/>
      <c r="C202" s="104"/>
      <c r="D202" s="92" t="str">
        <f>D165</f>
        <v>OUTUBRO</v>
      </c>
      <c r="E202" s="92"/>
      <c r="F202" s="92" t="str">
        <f>F165</f>
        <v>NOVEMBRO</v>
      </c>
      <c r="G202" s="92"/>
      <c r="H202" s="92" t="str">
        <f>H165</f>
        <v>DEZEMBRO</v>
      </c>
      <c r="I202" s="92"/>
      <c r="J202" s="105" t="str">
        <f>J165</f>
        <v>4º TRIMESTRE</v>
      </c>
      <c r="K202" s="183"/>
      <c r="L202"/>
      <c r="M202" s="99"/>
      <c r="N202" s="3"/>
      <c r="O202" s="3"/>
      <c r="P202" s="100"/>
      <c r="Q202" s="162"/>
    </row>
    <row r="203" spans="2:17" s="1" customFormat="1" ht="14.4" customHeight="1" thickTop="1" x14ac:dyDescent="0.3">
      <c r="B203" s="160"/>
      <c r="C203" s="106" t="s">
        <v>16</v>
      </c>
      <c r="D203" s="138">
        <v>0</v>
      </c>
      <c r="E203" s="138"/>
      <c r="F203" s="138">
        <v>0</v>
      </c>
      <c r="G203" s="138"/>
      <c r="H203" s="138">
        <v>0</v>
      </c>
      <c r="I203" s="138"/>
      <c r="J203" s="139">
        <f>SUM(D203:H203)/3</f>
        <v>0</v>
      </c>
      <c r="K203" s="183"/>
      <c r="L203"/>
      <c r="M203" s="99"/>
      <c r="N203" s="3"/>
      <c r="O203" s="3"/>
      <c r="P203" s="100"/>
      <c r="Q203" s="204"/>
    </row>
    <row r="204" spans="2:17" s="1" customFormat="1" ht="14.4" customHeight="1" x14ac:dyDescent="0.3">
      <c r="B204" s="160"/>
      <c r="C204" s="107" t="s">
        <v>13</v>
      </c>
      <c r="D204" s="140">
        <v>0</v>
      </c>
      <c r="E204" s="140"/>
      <c r="F204" s="140">
        <f>IFERROR(VLOOKUP(B186,#REF!,7,0),0)</f>
        <v>0</v>
      </c>
      <c r="G204" s="140"/>
      <c r="H204" s="140">
        <v>0</v>
      </c>
      <c r="I204" s="140"/>
      <c r="J204" s="141">
        <f>H204</f>
        <v>0</v>
      </c>
      <c r="K204" s="71"/>
      <c r="M204" s="99"/>
      <c r="N204" s="3"/>
      <c r="O204" s="3"/>
      <c r="P204" s="100"/>
      <c r="Q204" s="205"/>
    </row>
    <row r="205" spans="2:17" s="1" customFormat="1" ht="14.4" customHeight="1" x14ac:dyDescent="0.3">
      <c r="B205" s="206"/>
      <c r="C205" s="108" t="s">
        <v>10</v>
      </c>
      <c r="D205" s="142">
        <v>0</v>
      </c>
      <c r="E205" s="142"/>
      <c r="F205" s="142">
        <v>0</v>
      </c>
      <c r="G205" s="142"/>
      <c r="H205" s="142">
        <v>0</v>
      </c>
      <c r="I205" s="142"/>
      <c r="J205" s="143">
        <f>H205</f>
        <v>0</v>
      </c>
      <c r="K205"/>
      <c r="L205" s="161"/>
      <c r="M205" s="99"/>
      <c r="N205" s="3"/>
      <c r="O205" s="3"/>
      <c r="P205" s="100"/>
      <c r="Q205" s="200"/>
    </row>
    <row r="206" spans="2:17" s="1" customFormat="1" ht="14.4" customHeight="1" x14ac:dyDescent="0.3">
      <c r="B206" s="160"/>
      <c r="C206" s="109" t="s">
        <v>7</v>
      </c>
      <c r="D206" s="144">
        <f>D204-D205</f>
        <v>0</v>
      </c>
      <c r="E206" s="144"/>
      <c r="F206" s="144">
        <f>F204-F205</f>
        <v>0</v>
      </c>
      <c r="G206" s="144"/>
      <c r="H206" s="144">
        <f>H204-H205</f>
        <v>0</v>
      </c>
      <c r="I206" s="144"/>
      <c r="J206" s="145">
        <f>J204-J205</f>
        <v>0</v>
      </c>
      <c r="K206"/>
      <c r="M206" s="101"/>
      <c r="N206" s="102"/>
      <c r="O206" s="102"/>
      <c r="P206" s="103"/>
      <c r="Q206" s="207"/>
    </row>
  </sheetData>
  <mergeCells count="44">
    <mergeCell ref="M174:P174"/>
    <mergeCell ref="M180:P180"/>
    <mergeCell ref="M194:P194"/>
    <mergeCell ref="C201:J201"/>
    <mergeCell ref="B60:Q60"/>
    <mergeCell ref="C62:K62"/>
    <mergeCell ref="M94:P94"/>
    <mergeCell ref="B110:Q110"/>
    <mergeCell ref="C112:K112"/>
    <mergeCell ref="M112:P112"/>
    <mergeCell ref="C101:J101"/>
    <mergeCell ref="M114:P114"/>
    <mergeCell ref="M115:N115"/>
    <mergeCell ref="O115:P115"/>
    <mergeCell ref="M124:P124"/>
    <mergeCell ref="M130:P130"/>
    <mergeCell ref="C151:J151"/>
    <mergeCell ref="M165:N165"/>
    <mergeCell ref="M62:P62"/>
    <mergeCell ref="O165:P165"/>
    <mergeCell ref="M64:P64"/>
    <mergeCell ref="M65:N65"/>
    <mergeCell ref="O65:P65"/>
    <mergeCell ref="M74:P74"/>
    <mergeCell ref="M80:P80"/>
    <mergeCell ref="C162:K162"/>
    <mergeCell ref="M162:P162"/>
    <mergeCell ref="M164:P164"/>
    <mergeCell ref="M144:P144"/>
    <mergeCell ref="B160:Q160"/>
    <mergeCell ref="M24:P24"/>
    <mergeCell ref="M30:P30"/>
    <mergeCell ref="M44:P44"/>
    <mergeCell ref="C51:J51"/>
    <mergeCell ref="H3:O4"/>
    <mergeCell ref="H6:O6"/>
    <mergeCell ref="H7:O7"/>
    <mergeCell ref="B8:P8"/>
    <mergeCell ref="B10:Q10"/>
    <mergeCell ref="C12:K12"/>
    <mergeCell ref="M12:P12"/>
    <mergeCell ref="M15:N15"/>
    <mergeCell ref="O15:P15"/>
    <mergeCell ref="M14:P14"/>
  </mergeCells>
  <pageMargins left="0.25" right="0.25" top="0.75" bottom="0.75" header="0.3" footer="0.3"/>
  <pageSetup paperSize="9" scale="51" orientation="landscape" r:id="rId1"/>
  <ignoredErrors>
    <ignoredError sqref="J29 J33 J39 H49 F49 E49 G49 I49 J49 H34 J34 E99:J99 J89 J83 F84 J133 F134 E149:J149 J139 J183 F184 J189 E199:J199 H84 H134 H184 J184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2AB5-F2D3-45EA-8258-6B1AA7BA9852}">
  <sheetPr>
    <tabColor theme="4" tint="-0.499984740745262"/>
  </sheetPr>
  <dimension ref="B1:K38"/>
  <sheetViews>
    <sheetView showGridLines="0" workbookViewId="0">
      <selection activeCell="B20" sqref="B20"/>
    </sheetView>
  </sheetViews>
  <sheetFormatPr defaultRowHeight="14.4" x14ac:dyDescent="0.3"/>
  <cols>
    <col min="1" max="1" width="1.6640625" customWidth="1"/>
    <col min="2" max="2" width="46.6640625" customWidth="1"/>
    <col min="3" max="3" width="15.6640625" bestFit="1" customWidth="1"/>
    <col min="4" max="4" width="6.5546875" customWidth="1"/>
    <col min="5" max="5" width="16.88671875" customWidth="1"/>
    <col min="6" max="6" width="6.88671875" customWidth="1"/>
    <col min="7" max="7" width="15.6640625" bestFit="1" customWidth="1"/>
    <col min="8" max="8" width="7.6640625" customWidth="1"/>
    <col min="9" max="9" width="15.6640625" bestFit="1" customWidth="1"/>
    <col min="10" max="10" width="6.6640625" customWidth="1"/>
    <col min="11" max="11" width="16.44140625" bestFit="1" customWidth="1"/>
    <col min="241" max="241" width="3" customWidth="1"/>
    <col min="242" max="242" width="46.6640625" customWidth="1"/>
    <col min="243" max="243" width="14.88671875" bestFit="1" customWidth="1"/>
    <col min="244" max="244" width="6.5546875" customWidth="1"/>
    <col min="245" max="245" width="16.88671875" customWidth="1"/>
    <col min="246" max="246" width="6.88671875" customWidth="1"/>
    <col min="247" max="247" width="14.44140625" customWidth="1"/>
    <col min="248" max="248" width="7.6640625" customWidth="1"/>
    <col min="249" max="249" width="14.88671875" customWidth="1"/>
    <col min="250" max="250" width="6.6640625" customWidth="1"/>
    <col min="251" max="251" width="14.88671875" bestFit="1" customWidth="1"/>
    <col min="252" max="252" width="8" customWidth="1"/>
    <col min="253" max="253" width="14.88671875" bestFit="1" customWidth="1"/>
    <col min="254" max="254" width="7.6640625" customWidth="1"/>
    <col min="255" max="255" width="14.44140625" bestFit="1" customWidth="1"/>
    <col min="256" max="256" width="7" customWidth="1"/>
    <col min="257" max="257" width="14.33203125" customWidth="1"/>
    <col min="258" max="258" width="7" customWidth="1"/>
    <col min="259" max="259" width="16.6640625" bestFit="1" customWidth="1"/>
    <col min="260" max="260" width="6.5546875" customWidth="1"/>
    <col min="261" max="261" width="15.88671875" customWidth="1"/>
    <col min="262" max="262" width="7" customWidth="1"/>
    <col min="263" max="263" width="14.33203125" customWidth="1"/>
    <col min="264" max="264" width="7.44140625" customWidth="1"/>
    <col min="265" max="265" width="17.109375" customWidth="1"/>
    <col min="266" max="266" width="7.33203125" customWidth="1"/>
    <col min="267" max="267" width="16.44140625" bestFit="1" customWidth="1"/>
    <col min="497" max="497" width="3" customWidth="1"/>
    <col min="498" max="498" width="46.6640625" customWidth="1"/>
    <col min="499" max="499" width="14.88671875" bestFit="1" customWidth="1"/>
    <col min="500" max="500" width="6.5546875" customWidth="1"/>
    <col min="501" max="501" width="16.88671875" customWidth="1"/>
    <col min="502" max="502" width="6.88671875" customWidth="1"/>
    <col min="503" max="503" width="14.44140625" customWidth="1"/>
    <col min="504" max="504" width="7.6640625" customWidth="1"/>
    <col min="505" max="505" width="14.88671875" customWidth="1"/>
    <col min="506" max="506" width="6.6640625" customWidth="1"/>
    <col min="507" max="507" width="14.88671875" bestFit="1" customWidth="1"/>
    <col min="508" max="508" width="8" customWidth="1"/>
    <col min="509" max="509" width="14.88671875" bestFit="1" customWidth="1"/>
    <col min="510" max="510" width="7.6640625" customWidth="1"/>
    <col min="511" max="511" width="14.44140625" bestFit="1" customWidth="1"/>
    <col min="512" max="512" width="7" customWidth="1"/>
    <col min="513" max="513" width="14.33203125" customWidth="1"/>
    <col min="514" max="514" width="7" customWidth="1"/>
    <col min="515" max="515" width="16.6640625" bestFit="1" customWidth="1"/>
    <col min="516" max="516" width="6.5546875" customWidth="1"/>
    <col min="517" max="517" width="15.88671875" customWidth="1"/>
    <col min="518" max="518" width="7" customWidth="1"/>
    <col min="519" max="519" width="14.33203125" customWidth="1"/>
    <col min="520" max="520" width="7.44140625" customWidth="1"/>
    <col min="521" max="521" width="17.109375" customWidth="1"/>
    <col min="522" max="522" width="7.33203125" customWidth="1"/>
    <col min="523" max="523" width="16.44140625" bestFit="1" customWidth="1"/>
    <col min="753" max="753" width="3" customWidth="1"/>
    <col min="754" max="754" width="46.6640625" customWidth="1"/>
    <col min="755" max="755" width="14.88671875" bestFit="1" customWidth="1"/>
    <col min="756" max="756" width="6.5546875" customWidth="1"/>
    <col min="757" max="757" width="16.88671875" customWidth="1"/>
    <col min="758" max="758" width="6.88671875" customWidth="1"/>
    <col min="759" max="759" width="14.44140625" customWidth="1"/>
    <col min="760" max="760" width="7.6640625" customWidth="1"/>
    <col min="761" max="761" width="14.88671875" customWidth="1"/>
    <col min="762" max="762" width="6.6640625" customWidth="1"/>
    <col min="763" max="763" width="14.88671875" bestFit="1" customWidth="1"/>
    <col min="764" max="764" width="8" customWidth="1"/>
    <col min="765" max="765" width="14.88671875" bestFit="1" customWidth="1"/>
    <col min="766" max="766" width="7.6640625" customWidth="1"/>
    <col min="767" max="767" width="14.44140625" bestFit="1" customWidth="1"/>
    <col min="768" max="768" width="7" customWidth="1"/>
    <col min="769" max="769" width="14.33203125" customWidth="1"/>
    <col min="770" max="770" width="7" customWidth="1"/>
    <col min="771" max="771" width="16.6640625" bestFit="1" customWidth="1"/>
    <col min="772" max="772" width="6.5546875" customWidth="1"/>
    <col min="773" max="773" width="15.88671875" customWidth="1"/>
    <col min="774" max="774" width="7" customWidth="1"/>
    <col min="775" max="775" width="14.33203125" customWidth="1"/>
    <col min="776" max="776" width="7.44140625" customWidth="1"/>
    <col min="777" max="777" width="17.109375" customWidth="1"/>
    <col min="778" max="778" width="7.33203125" customWidth="1"/>
    <col min="779" max="779" width="16.44140625" bestFit="1" customWidth="1"/>
    <col min="1009" max="1009" width="3" customWidth="1"/>
    <col min="1010" max="1010" width="46.6640625" customWidth="1"/>
    <col min="1011" max="1011" width="14.88671875" bestFit="1" customWidth="1"/>
    <col min="1012" max="1012" width="6.5546875" customWidth="1"/>
    <col min="1013" max="1013" width="16.88671875" customWidth="1"/>
    <col min="1014" max="1014" width="6.88671875" customWidth="1"/>
    <col min="1015" max="1015" width="14.44140625" customWidth="1"/>
    <col min="1016" max="1016" width="7.6640625" customWidth="1"/>
    <col min="1017" max="1017" width="14.88671875" customWidth="1"/>
    <col min="1018" max="1018" width="6.6640625" customWidth="1"/>
    <col min="1019" max="1019" width="14.88671875" bestFit="1" customWidth="1"/>
    <col min="1020" max="1020" width="8" customWidth="1"/>
    <col min="1021" max="1021" width="14.88671875" bestFit="1" customWidth="1"/>
    <col min="1022" max="1022" width="7.6640625" customWidth="1"/>
    <col min="1023" max="1023" width="14.44140625" bestFit="1" customWidth="1"/>
    <col min="1024" max="1024" width="7" customWidth="1"/>
    <col min="1025" max="1025" width="14.33203125" customWidth="1"/>
    <col min="1026" max="1026" width="7" customWidth="1"/>
    <col min="1027" max="1027" width="16.6640625" bestFit="1" customWidth="1"/>
    <col min="1028" max="1028" width="6.5546875" customWidth="1"/>
    <col min="1029" max="1029" width="15.88671875" customWidth="1"/>
    <col min="1030" max="1030" width="7" customWidth="1"/>
    <col min="1031" max="1031" width="14.33203125" customWidth="1"/>
    <col min="1032" max="1032" width="7.44140625" customWidth="1"/>
    <col min="1033" max="1033" width="17.109375" customWidth="1"/>
    <col min="1034" max="1034" width="7.33203125" customWidth="1"/>
    <col min="1035" max="1035" width="16.44140625" bestFit="1" customWidth="1"/>
    <col min="1265" max="1265" width="3" customWidth="1"/>
    <col min="1266" max="1266" width="46.6640625" customWidth="1"/>
    <col min="1267" max="1267" width="14.88671875" bestFit="1" customWidth="1"/>
    <col min="1268" max="1268" width="6.5546875" customWidth="1"/>
    <col min="1269" max="1269" width="16.88671875" customWidth="1"/>
    <col min="1270" max="1270" width="6.88671875" customWidth="1"/>
    <col min="1271" max="1271" width="14.44140625" customWidth="1"/>
    <col min="1272" max="1272" width="7.6640625" customWidth="1"/>
    <col min="1273" max="1273" width="14.88671875" customWidth="1"/>
    <col min="1274" max="1274" width="6.6640625" customWidth="1"/>
    <col min="1275" max="1275" width="14.88671875" bestFit="1" customWidth="1"/>
    <col min="1276" max="1276" width="8" customWidth="1"/>
    <col min="1277" max="1277" width="14.88671875" bestFit="1" customWidth="1"/>
    <col min="1278" max="1278" width="7.6640625" customWidth="1"/>
    <col min="1279" max="1279" width="14.44140625" bestFit="1" customWidth="1"/>
    <col min="1280" max="1280" width="7" customWidth="1"/>
    <col min="1281" max="1281" width="14.33203125" customWidth="1"/>
    <col min="1282" max="1282" width="7" customWidth="1"/>
    <col min="1283" max="1283" width="16.6640625" bestFit="1" customWidth="1"/>
    <col min="1284" max="1284" width="6.5546875" customWidth="1"/>
    <col min="1285" max="1285" width="15.88671875" customWidth="1"/>
    <col min="1286" max="1286" width="7" customWidth="1"/>
    <col min="1287" max="1287" width="14.33203125" customWidth="1"/>
    <col min="1288" max="1288" width="7.44140625" customWidth="1"/>
    <col min="1289" max="1289" width="17.109375" customWidth="1"/>
    <col min="1290" max="1290" width="7.33203125" customWidth="1"/>
    <col min="1291" max="1291" width="16.44140625" bestFit="1" customWidth="1"/>
    <col min="1521" max="1521" width="3" customWidth="1"/>
    <col min="1522" max="1522" width="46.6640625" customWidth="1"/>
    <col min="1523" max="1523" width="14.88671875" bestFit="1" customWidth="1"/>
    <col min="1524" max="1524" width="6.5546875" customWidth="1"/>
    <col min="1525" max="1525" width="16.88671875" customWidth="1"/>
    <col min="1526" max="1526" width="6.88671875" customWidth="1"/>
    <col min="1527" max="1527" width="14.44140625" customWidth="1"/>
    <col min="1528" max="1528" width="7.6640625" customWidth="1"/>
    <col min="1529" max="1529" width="14.88671875" customWidth="1"/>
    <col min="1530" max="1530" width="6.6640625" customWidth="1"/>
    <col min="1531" max="1531" width="14.88671875" bestFit="1" customWidth="1"/>
    <col min="1532" max="1532" width="8" customWidth="1"/>
    <col min="1533" max="1533" width="14.88671875" bestFit="1" customWidth="1"/>
    <col min="1534" max="1534" width="7.6640625" customWidth="1"/>
    <col min="1535" max="1535" width="14.44140625" bestFit="1" customWidth="1"/>
    <col min="1536" max="1536" width="7" customWidth="1"/>
    <col min="1537" max="1537" width="14.33203125" customWidth="1"/>
    <col min="1538" max="1538" width="7" customWidth="1"/>
    <col min="1539" max="1539" width="16.6640625" bestFit="1" customWidth="1"/>
    <col min="1540" max="1540" width="6.5546875" customWidth="1"/>
    <col min="1541" max="1541" width="15.88671875" customWidth="1"/>
    <col min="1542" max="1542" width="7" customWidth="1"/>
    <col min="1543" max="1543" width="14.33203125" customWidth="1"/>
    <col min="1544" max="1544" width="7.44140625" customWidth="1"/>
    <col min="1545" max="1545" width="17.109375" customWidth="1"/>
    <col min="1546" max="1546" width="7.33203125" customWidth="1"/>
    <col min="1547" max="1547" width="16.44140625" bestFit="1" customWidth="1"/>
    <col min="1777" max="1777" width="3" customWidth="1"/>
    <col min="1778" max="1778" width="46.6640625" customWidth="1"/>
    <col min="1779" max="1779" width="14.88671875" bestFit="1" customWidth="1"/>
    <col min="1780" max="1780" width="6.5546875" customWidth="1"/>
    <col min="1781" max="1781" width="16.88671875" customWidth="1"/>
    <col min="1782" max="1782" width="6.88671875" customWidth="1"/>
    <col min="1783" max="1783" width="14.44140625" customWidth="1"/>
    <col min="1784" max="1784" width="7.6640625" customWidth="1"/>
    <col min="1785" max="1785" width="14.88671875" customWidth="1"/>
    <col min="1786" max="1786" width="6.6640625" customWidth="1"/>
    <col min="1787" max="1787" width="14.88671875" bestFit="1" customWidth="1"/>
    <col min="1788" max="1788" width="8" customWidth="1"/>
    <col min="1789" max="1789" width="14.88671875" bestFit="1" customWidth="1"/>
    <col min="1790" max="1790" width="7.6640625" customWidth="1"/>
    <col min="1791" max="1791" width="14.44140625" bestFit="1" customWidth="1"/>
    <col min="1792" max="1792" width="7" customWidth="1"/>
    <col min="1793" max="1793" width="14.33203125" customWidth="1"/>
    <col min="1794" max="1794" width="7" customWidth="1"/>
    <col min="1795" max="1795" width="16.6640625" bestFit="1" customWidth="1"/>
    <col min="1796" max="1796" width="6.5546875" customWidth="1"/>
    <col min="1797" max="1797" width="15.88671875" customWidth="1"/>
    <col min="1798" max="1798" width="7" customWidth="1"/>
    <col min="1799" max="1799" width="14.33203125" customWidth="1"/>
    <col min="1800" max="1800" width="7.44140625" customWidth="1"/>
    <col min="1801" max="1801" width="17.109375" customWidth="1"/>
    <col min="1802" max="1802" width="7.33203125" customWidth="1"/>
    <col min="1803" max="1803" width="16.44140625" bestFit="1" customWidth="1"/>
    <col min="2033" max="2033" width="3" customWidth="1"/>
    <col min="2034" max="2034" width="46.6640625" customWidth="1"/>
    <col min="2035" max="2035" width="14.88671875" bestFit="1" customWidth="1"/>
    <col min="2036" max="2036" width="6.5546875" customWidth="1"/>
    <col min="2037" max="2037" width="16.88671875" customWidth="1"/>
    <col min="2038" max="2038" width="6.88671875" customWidth="1"/>
    <col min="2039" max="2039" width="14.44140625" customWidth="1"/>
    <col min="2040" max="2040" width="7.6640625" customWidth="1"/>
    <col min="2041" max="2041" width="14.88671875" customWidth="1"/>
    <col min="2042" max="2042" width="6.6640625" customWidth="1"/>
    <col min="2043" max="2043" width="14.88671875" bestFit="1" customWidth="1"/>
    <col min="2044" max="2044" width="8" customWidth="1"/>
    <col min="2045" max="2045" width="14.88671875" bestFit="1" customWidth="1"/>
    <col min="2046" max="2046" width="7.6640625" customWidth="1"/>
    <col min="2047" max="2047" width="14.44140625" bestFit="1" customWidth="1"/>
    <col min="2048" max="2048" width="7" customWidth="1"/>
    <col min="2049" max="2049" width="14.33203125" customWidth="1"/>
    <col min="2050" max="2050" width="7" customWidth="1"/>
    <col min="2051" max="2051" width="16.6640625" bestFit="1" customWidth="1"/>
    <col min="2052" max="2052" width="6.5546875" customWidth="1"/>
    <col min="2053" max="2053" width="15.88671875" customWidth="1"/>
    <col min="2054" max="2054" width="7" customWidth="1"/>
    <col min="2055" max="2055" width="14.33203125" customWidth="1"/>
    <col min="2056" max="2056" width="7.44140625" customWidth="1"/>
    <col min="2057" max="2057" width="17.109375" customWidth="1"/>
    <col min="2058" max="2058" width="7.33203125" customWidth="1"/>
    <col min="2059" max="2059" width="16.44140625" bestFit="1" customWidth="1"/>
    <col min="2289" max="2289" width="3" customWidth="1"/>
    <col min="2290" max="2290" width="46.6640625" customWidth="1"/>
    <col min="2291" max="2291" width="14.88671875" bestFit="1" customWidth="1"/>
    <col min="2292" max="2292" width="6.5546875" customWidth="1"/>
    <col min="2293" max="2293" width="16.88671875" customWidth="1"/>
    <col min="2294" max="2294" width="6.88671875" customWidth="1"/>
    <col min="2295" max="2295" width="14.44140625" customWidth="1"/>
    <col min="2296" max="2296" width="7.6640625" customWidth="1"/>
    <col min="2297" max="2297" width="14.88671875" customWidth="1"/>
    <col min="2298" max="2298" width="6.6640625" customWidth="1"/>
    <col min="2299" max="2299" width="14.88671875" bestFit="1" customWidth="1"/>
    <col min="2300" max="2300" width="8" customWidth="1"/>
    <col min="2301" max="2301" width="14.88671875" bestFit="1" customWidth="1"/>
    <col min="2302" max="2302" width="7.6640625" customWidth="1"/>
    <col min="2303" max="2303" width="14.44140625" bestFit="1" customWidth="1"/>
    <col min="2304" max="2304" width="7" customWidth="1"/>
    <col min="2305" max="2305" width="14.33203125" customWidth="1"/>
    <col min="2306" max="2306" width="7" customWidth="1"/>
    <col min="2307" max="2307" width="16.6640625" bestFit="1" customWidth="1"/>
    <col min="2308" max="2308" width="6.5546875" customWidth="1"/>
    <col min="2309" max="2309" width="15.88671875" customWidth="1"/>
    <col min="2310" max="2310" width="7" customWidth="1"/>
    <col min="2311" max="2311" width="14.33203125" customWidth="1"/>
    <col min="2312" max="2312" width="7.44140625" customWidth="1"/>
    <col min="2313" max="2313" width="17.109375" customWidth="1"/>
    <col min="2314" max="2314" width="7.33203125" customWidth="1"/>
    <col min="2315" max="2315" width="16.44140625" bestFit="1" customWidth="1"/>
    <col min="2545" max="2545" width="3" customWidth="1"/>
    <col min="2546" max="2546" width="46.6640625" customWidth="1"/>
    <col min="2547" max="2547" width="14.88671875" bestFit="1" customWidth="1"/>
    <col min="2548" max="2548" width="6.5546875" customWidth="1"/>
    <col min="2549" max="2549" width="16.88671875" customWidth="1"/>
    <col min="2550" max="2550" width="6.88671875" customWidth="1"/>
    <col min="2551" max="2551" width="14.44140625" customWidth="1"/>
    <col min="2552" max="2552" width="7.6640625" customWidth="1"/>
    <col min="2553" max="2553" width="14.88671875" customWidth="1"/>
    <col min="2554" max="2554" width="6.6640625" customWidth="1"/>
    <col min="2555" max="2555" width="14.88671875" bestFit="1" customWidth="1"/>
    <col min="2556" max="2556" width="8" customWidth="1"/>
    <col min="2557" max="2557" width="14.88671875" bestFit="1" customWidth="1"/>
    <col min="2558" max="2558" width="7.6640625" customWidth="1"/>
    <col min="2559" max="2559" width="14.44140625" bestFit="1" customWidth="1"/>
    <col min="2560" max="2560" width="7" customWidth="1"/>
    <col min="2561" max="2561" width="14.33203125" customWidth="1"/>
    <col min="2562" max="2562" width="7" customWidth="1"/>
    <col min="2563" max="2563" width="16.6640625" bestFit="1" customWidth="1"/>
    <col min="2564" max="2564" width="6.5546875" customWidth="1"/>
    <col min="2565" max="2565" width="15.88671875" customWidth="1"/>
    <col min="2566" max="2566" width="7" customWidth="1"/>
    <col min="2567" max="2567" width="14.33203125" customWidth="1"/>
    <col min="2568" max="2568" width="7.44140625" customWidth="1"/>
    <col min="2569" max="2569" width="17.109375" customWidth="1"/>
    <col min="2570" max="2570" width="7.33203125" customWidth="1"/>
    <col min="2571" max="2571" width="16.44140625" bestFit="1" customWidth="1"/>
    <col min="2801" max="2801" width="3" customWidth="1"/>
    <col min="2802" max="2802" width="46.6640625" customWidth="1"/>
    <col min="2803" max="2803" width="14.88671875" bestFit="1" customWidth="1"/>
    <col min="2804" max="2804" width="6.5546875" customWidth="1"/>
    <col min="2805" max="2805" width="16.88671875" customWidth="1"/>
    <col min="2806" max="2806" width="6.88671875" customWidth="1"/>
    <col min="2807" max="2807" width="14.44140625" customWidth="1"/>
    <col min="2808" max="2808" width="7.6640625" customWidth="1"/>
    <col min="2809" max="2809" width="14.88671875" customWidth="1"/>
    <col min="2810" max="2810" width="6.6640625" customWidth="1"/>
    <col min="2811" max="2811" width="14.88671875" bestFit="1" customWidth="1"/>
    <col min="2812" max="2812" width="8" customWidth="1"/>
    <col min="2813" max="2813" width="14.88671875" bestFit="1" customWidth="1"/>
    <col min="2814" max="2814" width="7.6640625" customWidth="1"/>
    <col min="2815" max="2815" width="14.44140625" bestFit="1" customWidth="1"/>
    <col min="2816" max="2816" width="7" customWidth="1"/>
    <col min="2817" max="2817" width="14.33203125" customWidth="1"/>
    <col min="2818" max="2818" width="7" customWidth="1"/>
    <col min="2819" max="2819" width="16.6640625" bestFit="1" customWidth="1"/>
    <col min="2820" max="2820" width="6.5546875" customWidth="1"/>
    <col min="2821" max="2821" width="15.88671875" customWidth="1"/>
    <col min="2822" max="2822" width="7" customWidth="1"/>
    <col min="2823" max="2823" width="14.33203125" customWidth="1"/>
    <col min="2824" max="2824" width="7.44140625" customWidth="1"/>
    <col min="2825" max="2825" width="17.109375" customWidth="1"/>
    <col min="2826" max="2826" width="7.33203125" customWidth="1"/>
    <col min="2827" max="2827" width="16.44140625" bestFit="1" customWidth="1"/>
    <col min="3057" max="3057" width="3" customWidth="1"/>
    <col min="3058" max="3058" width="46.6640625" customWidth="1"/>
    <col min="3059" max="3059" width="14.88671875" bestFit="1" customWidth="1"/>
    <col min="3060" max="3060" width="6.5546875" customWidth="1"/>
    <col min="3061" max="3061" width="16.88671875" customWidth="1"/>
    <col min="3062" max="3062" width="6.88671875" customWidth="1"/>
    <col min="3063" max="3063" width="14.44140625" customWidth="1"/>
    <col min="3064" max="3064" width="7.6640625" customWidth="1"/>
    <col min="3065" max="3065" width="14.88671875" customWidth="1"/>
    <col min="3066" max="3066" width="6.6640625" customWidth="1"/>
    <col min="3067" max="3067" width="14.88671875" bestFit="1" customWidth="1"/>
    <col min="3068" max="3068" width="8" customWidth="1"/>
    <col min="3069" max="3069" width="14.88671875" bestFit="1" customWidth="1"/>
    <col min="3070" max="3070" width="7.6640625" customWidth="1"/>
    <col min="3071" max="3071" width="14.44140625" bestFit="1" customWidth="1"/>
    <col min="3072" max="3072" width="7" customWidth="1"/>
    <col min="3073" max="3073" width="14.33203125" customWidth="1"/>
    <col min="3074" max="3074" width="7" customWidth="1"/>
    <col min="3075" max="3075" width="16.6640625" bestFit="1" customWidth="1"/>
    <col min="3076" max="3076" width="6.5546875" customWidth="1"/>
    <col min="3077" max="3077" width="15.88671875" customWidth="1"/>
    <col min="3078" max="3078" width="7" customWidth="1"/>
    <col min="3079" max="3079" width="14.33203125" customWidth="1"/>
    <col min="3080" max="3080" width="7.44140625" customWidth="1"/>
    <col min="3081" max="3081" width="17.109375" customWidth="1"/>
    <col min="3082" max="3082" width="7.33203125" customWidth="1"/>
    <col min="3083" max="3083" width="16.44140625" bestFit="1" customWidth="1"/>
    <col min="3313" max="3313" width="3" customWidth="1"/>
    <col min="3314" max="3314" width="46.6640625" customWidth="1"/>
    <col min="3315" max="3315" width="14.88671875" bestFit="1" customWidth="1"/>
    <col min="3316" max="3316" width="6.5546875" customWidth="1"/>
    <col min="3317" max="3317" width="16.88671875" customWidth="1"/>
    <col min="3318" max="3318" width="6.88671875" customWidth="1"/>
    <col min="3319" max="3319" width="14.44140625" customWidth="1"/>
    <col min="3320" max="3320" width="7.6640625" customWidth="1"/>
    <col min="3321" max="3321" width="14.88671875" customWidth="1"/>
    <col min="3322" max="3322" width="6.6640625" customWidth="1"/>
    <col min="3323" max="3323" width="14.88671875" bestFit="1" customWidth="1"/>
    <col min="3324" max="3324" width="8" customWidth="1"/>
    <col min="3325" max="3325" width="14.88671875" bestFit="1" customWidth="1"/>
    <col min="3326" max="3326" width="7.6640625" customWidth="1"/>
    <col min="3327" max="3327" width="14.44140625" bestFit="1" customWidth="1"/>
    <col min="3328" max="3328" width="7" customWidth="1"/>
    <col min="3329" max="3329" width="14.33203125" customWidth="1"/>
    <col min="3330" max="3330" width="7" customWidth="1"/>
    <col min="3331" max="3331" width="16.6640625" bestFit="1" customWidth="1"/>
    <col min="3332" max="3332" width="6.5546875" customWidth="1"/>
    <col min="3333" max="3333" width="15.88671875" customWidth="1"/>
    <col min="3334" max="3334" width="7" customWidth="1"/>
    <col min="3335" max="3335" width="14.33203125" customWidth="1"/>
    <col min="3336" max="3336" width="7.44140625" customWidth="1"/>
    <col min="3337" max="3337" width="17.109375" customWidth="1"/>
    <col min="3338" max="3338" width="7.33203125" customWidth="1"/>
    <col min="3339" max="3339" width="16.44140625" bestFit="1" customWidth="1"/>
    <col min="3569" max="3569" width="3" customWidth="1"/>
    <col min="3570" max="3570" width="46.6640625" customWidth="1"/>
    <col min="3571" max="3571" width="14.88671875" bestFit="1" customWidth="1"/>
    <col min="3572" max="3572" width="6.5546875" customWidth="1"/>
    <col min="3573" max="3573" width="16.88671875" customWidth="1"/>
    <col min="3574" max="3574" width="6.88671875" customWidth="1"/>
    <col min="3575" max="3575" width="14.44140625" customWidth="1"/>
    <col min="3576" max="3576" width="7.6640625" customWidth="1"/>
    <col min="3577" max="3577" width="14.88671875" customWidth="1"/>
    <col min="3578" max="3578" width="6.6640625" customWidth="1"/>
    <col min="3579" max="3579" width="14.88671875" bestFit="1" customWidth="1"/>
    <col min="3580" max="3580" width="8" customWidth="1"/>
    <col min="3581" max="3581" width="14.88671875" bestFit="1" customWidth="1"/>
    <col min="3582" max="3582" width="7.6640625" customWidth="1"/>
    <col min="3583" max="3583" width="14.44140625" bestFit="1" customWidth="1"/>
    <col min="3584" max="3584" width="7" customWidth="1"/>
    <col min="3585" max="3585" width="14.33203125" customWidth="1"/>
    <col min="3586" max="3586" width="7" customWidth="1"/>
    <col min="3587" max="3587" width="16.6640625" bestFit="1" customWidth="1"/>
    <col min="3588" max="3588" width="6.5546875" customWidth="1"/>
    <col min="3589" max="3589" width="15.88671875" customWidth="1"/>
    <col min="3590" max="3590" width="7" customWidth="1"/>
    <col min="3591" max="3591" width="14.33203125" customWidth="1"/>
    <col min="3592" max="3592" width="7.44140625" customWidth="1"/>
    <col min="3593" max="3593" width="17.109375" customWidth="1"/>
    <col min="3594" max="3594" width="7.33203125" customWidth="1"/>
    <col min="3595" max="3595" width="16.44140625" bestFit="1" customWidth="1"/>
    <col min="3825" max="3825" width="3" customWidth="1"/>
    <col min="3826" max="3826" width="46.6640625" customWidth="1"/>
    <col min="3827" max="3827" width="14.88671875" bestFit="1" customWidth="1"/>
    <col min="3828" max="3828" width="6.5546875" customWidth="1"/>
    <col min="3829" max="3829" width="16.88671875" customWidth="1"/>
    <col min="3830" max="3830" width="6.88671875" customWidth="1"/>
    <col min="3831" max="3831" width="14.44140625" customWidth="1"/>
    <col min="3832" max="3832" width="7.6640625" customWidth="1"/>
    <col min="3833" max="3833" width="14.88671875" customWidth="1"/>
    <col min="3834" max="3834" width="6.6640625" customWidth="1"/>
    <col min="3835" max="3835" width="14.88671875" bestFit="1" customWidth="1"/>
    <col min="3836" max="3836" width="8" customWidth="1"/>
    <col min="3837" max="3837" width="14.88671875" bestFit="1" customWidth="1"/>
    <col min="3838" max="3838" width="7.6640625" customWidth="1"/>
    <col min="3839" max="3839" width="14.44140625" bestFit="1" customWidth="1"/>
    <col min="3840" max="3840" width="7" customWidth="1"/>
    <col min="3841" max="3841" width="14.33203125" customWidth="1"/>
    <col min="3842" max="3842" width="7" customWidth="1"/>
    <col min="3843" max="3843" width="16.6640625" bestFit="1" customWidth="1"/>
    <col min="3844" max="3844" width="6.5546875" customWidth="1"/>
    <col min="3845" max="3845" width="15.88671875" customWidth="1"/>
    <col min="3846" max="3846" width="7" customWidth="1"/>
    <col min="3847" max="3847" width="14.33203125" customWidth="1"/>
    <col min="3848" max="3848" width="7.44140625" customWidth="1"/>
    <col min="3849" max="3849" width="17.109375" customWidth="1"/>
    <col min="3850" max="3850" width="7.33203125" customWidth="1"/>
    <col min="3851" max="3851" width="16.44140625" bestFit="1" customWidth="1"/>
    <col min="4081" max="4081" width="3" customWidth="1"/>
    <col min="4082" max="4082" width="46.6640625" customWidth="1"/>
    <col min="4083" max="4083" width="14.88671875" bestFit="1" customWidth="1"/>
    <col min="4084" max="4084" width="6.5546875" customWidth="1"/>
    <col min="4085" max="4085" width="16.88671875" customWidth="1"/>
    <col min="4086" max="4086" width="6.88671875" customWidth="1"/>
    <col min="4087" max="4087" width="14.44140625" customWidth="1"/>
    <col min="4088" max="4088" width="7.6640625" customWidth="1"/>
    <col min="4089" max="4089" width="14.88671875" customWidth="1"/>
    <col min="4090" max="4090" width="6.6640625" customWidth="1"/>
    <col min="4091" max="4091" width="14.88671875" bestFit="1" customWidth="1"/>
    <col min="4092" max="4092" width="8" customWidth="1"/>
    <col min="4093" max="4093" width="14.88671875" bestFit="1" customWidth="1"/>
    <col min="4094" max="4094" width="7.6640625" customWidth="1"/>
    <col min="4095" max="4095" width="14.44140625" bestFit="1" customWidth="1"/>
    <col min="4096" max="4096" width="7" customWidth="1"/>
    <col min="4097" max="4097" width="14.33203125" customWidth="1"/>
    <col min="4098" max="4098" width="7" customWidth="1"/>
    <col min="4099" max="4099" width="16.6640625" bestFit="1" customWidth="1"/>
    <col min="4100" max="4100" width="6.5546875" customWidth="1"/>
    <col min="4101" max="4101" width="15.88671875" customWidth="1"/>
    <col min="4102" max="4102" width="7" customWidth="1"/>
    <col min="4103" max="4103" width="14.33203125" customWidth="1"/>
    <col min="4104" max="4104" width="7.44140625" customWidth="1"/>
    <col min="4105" max="4105" width="17.109375" customWidth="1"/>
    <col min="4106" max="4106" width="7.33203125" customWidth="1"/>
    <col min="4107" max="4107" width="16.44140625" bestFit="1" customWidth="1"/>
    <col min="4337" max="4337" width="3" customWidth="1"/>
    <col min="4338" max="4338" width="46.6640625" customWidth="1"/>
    <col min="4339" max="4339" width="14.88671875" bestFit="1" customWidth="1"/>
    <col min="4340" max="4340" width="6.5546875" customWidth="1"/>
    <col min="4341" max="4341" width="16.88671875" customWidth="1"/>
    <col min="4342" max="4342" width="6.88671875" customWidth="1"/>
    <col min="4343" max="4343" width="14.44140625" customWidth="1"/>
    <col min="4344" max="4344" width="7.6640625" customWidth="1"/>
    <col min="4345" max="4345" width="14.88671875" customWidth="1"/>
    <col min="4346" max="4346" width="6.6640625" customWidth="1"/>
    <col min="4347" max="4347" width="14.88671875" bestFit="1" customWidth="1"/>
    <col min="4348" max="4348" width="8" customWidth="1"/>
    <col min="4349" max="4349" width="14.88671875" bestFit="1" customWidth="1"/>
    <col min="4350" max="4350" width="7.6640625" customWidth="1"/>
    <col min="4351" max="4351" width="14.44140625" bestFit="1" customWidth="1"/>
    <col min="4352" max="4352" width="7" customWidth="1"/>
    <col min="4353" max="4353" width="14.33203125" customWidth="1"/>
    <col min="4354" max="4354" width="7" customWidth="1"/>
    <col min="4355" max="4355" width="16.6640625" bestFit="1" customWidth="1"/>
    <col min="4356" max="4356" width="6.5546875" customWidth="1"/>
    <col min="4357" max="4357" width="15.88671875" customWidth="1"/>
    <col min="4358" max="4358" width="7" customWidth="1"/>
    <col min="4359" max="4359" width="14.33203125" customWidth="1"/>
    <col min="4360" max="4360" width="7.44140625" customWidth="1"/>
    <col min="4361" max="4361" width="17.109375" customWidth="1"/>
    <col min="4362" max="4362" width="7.33203125" customWidth="1"/>
    <col min="4363" max="4363" width="16.44140625" bestFit="1" customWidth="1"/>
    <col min="4593" max="4593" width="3" customWidth="1"/>
    <col min="4594" max="4594" width="46.6640625" customWidth="1"/>
    <col min="4595" max="4595" width="14.88671875" bestFit="1" customWidth="1"/>
    <col min="4596" max="4596" width="6.5546875" customWidth="1"/>
    <col min="4597" max="4597" width="16.88671875" customWidth="1"/>
    <col min="4598" max="4598" width="6.88671875" customWidth="1"/>
    <col min="4599" max="4599" width="14.44140625" customWidth="1"/>
    <col min="4600" max="4600" width="7.6640625" customWidth="1"/>
    <col min="4601" max="4601" width="14.88671875" customWidth="1"/>
    <col min="4602" max="4602" width="6.6640625" customWidth="1"/>
    <col min="4603" max="4603" width="14.88671875" bestFit="1" customWidth="1"/>
    <col min="4604" max="4604" width="8" customWidth="1"/>
    <col min="4605" max="4605" width="14.88671875" bestFit="1" customWidth="1"/>
    <col min="4606" max="4606" width="7.6640625" customWidth="1"/>
    <col min="4607" max="4607" width="14.44140625" bestFit="1" customWidth="1"/>
    <col min="4608" max="4608" width="7" customWidth="1"/>
    <col min="4609" max="4609" width="14.33203125" customWidth="1"/>
    <col min="4610" max="4610" width="7" customWidth="1"/>
    <col min="4611" max="4611" width="16.6640625" bestFit="1" customWidth="1"/>
    <col min="4612" max="4612" width="6.5546875" customWidth="1"/>
    <col min="4613" max="4613" width="15.88671875" customWidth="1"/>
    <col min="4614" max="4614" width="7" customWidth="1"/>
    <col min="4615" max="4615" width="14.33203125" customWidth="1"/>
    <col min="4616" max="4616" width="7.44140625" customWidth="1"/>
    <col min="4617" max="4617" width="17.109375" customWidth="1"/>
    <col min="4618" max="4618" width="7.33203125" customWidth="1"/>
    <col min="4619" max="4619" width="16.44140625" bestFit="1" customWidth="1"/>
    <col min="4849" max="4849" width="3" customWidth="1"/>
    <col min="4850" max="4850" width="46.6640625" customWidth="1"/>
    <col min="4851" max="4851" width="14.88671875" bestFit="1" customWidth="1"/>
    <col min="4852" max="4852" width="6.5546875" customWidth="1"/>
    <col min="4853" max="4853" width="16.88671875" customWidth="1"/>
    <col min="4854" max="4854" width="6.88671875" customWidth="1"/>
    <col min="4855" max="4855" width="14.44140625" customWidth="1"/>
    <col min="4856" max="4856" width="7.6640625" customWidth="1"/>
    <col min="4857" max="4857" width="14.88671875" customWidth="1"/>
    <col min="4858" max="4858" width="6.6640625" customWidth="1"/>
    <col min="4859" max="4859" width="14.88671875" bestFit="1" customWidth="1"/>
    <col min="4860" max="4860" width="8" customWidth="1"/>
    <col min="4861" max="4861" width="14.88671875" bestFit="1" customWidth="1"/>
    <col min="4862" max="4862" width="7.6640625" customWidth="1"/>
    <col min="4863" max="4863" width="14.44140625" bestFit="1" customWidth="1"/>
    <col min="4864" max="4864" width="7" customWidth="1"/>
    <col min="4865" max="4865" width="14.33203125" customWidth="1"/>
    <col min="4866" max="4866" width="7" customWidth="1"/>
    <col min="4867" max="4867" width="16.6640625" bestFit="1" customWidth="1"/>
    <col min="4868" max="4868" width="6.5546875" customWidth="1"/>
    <col min="4869" max="4869" width="15.88671875" customWidth="1"/>
    <col min="4870" max="4870" width="7" customWidth="1"/>
    <col min="4871" max="4871" width="14.33203125" customWidth="1"/>
    <col min="4872" max="4872" width="7.44140625" customWidth="1"/>
    <col min="4873" max="4873" width="17.109375" customWidth="1"/>
    <col min="4874" max="4874" width="7.33203125" customWidth="1"/>
    <col min="4875" max="4875" width="16.44140625" bestFit="1" customWidth="1"/>
    <col min="5105" max="5105" width="3" customWidth="1"/>
    <col min="5106" max="5106" width="46.6640625" customWidth="1"/>
    <col min="5107" max="5107" width="14.88671875" bestFit="1" customWidth="1"/>
    <col min="5108" max="5108" width="6.5546875" customWidth="1"/>
    <col min="5109" max="5109" width="16.88671875" customWidth="1"/>
    <col min="5110" max="5110" width="6.88671875" customWidth="1"/>
    <col min="5111" max="5111" width="14.44140625" customWidth="1"/>
    <col min="5112" max="5112" width="7.6640625" customWidth="1"/>
    <col min="5113" max="5113" width="14.88671875" customWidth="1"/>
    <col min="5114" max="5114" width="6.6640625" customWidth="1"/>
    <col min="5115" max="5115" width="14.88671875" bestFit="1" customWidth="1"/>
    <col min="5116" max="5116" width="8" customWidth="1"/>
    <col min="5117" max="5117" width="14.88671875" bestFit="1" customWidth="1"/>
    <col min="5118" max="5118" width="7.6640625" customWidth="1"/>
    <col min="5119" max="5119" width="14.44140625" bestFit="1" customWidth="1"/>
    <col min="5120" max="5120" width="7" customWidth="1"/>
    <col min="5121" max="5121" width="14.33203125" customWidth="1"/>
    <col min="5122" max="5122" width="7" customWidth="1"/>
    <col min="5123" max="5123" width="16.6640625" bestFit="1" customWidth="1"/>
    <col min="5124" max="5124" width="6.5546875" customWidth="1"/>
    <col min="5125" max="5125" width="15.88671875" customWidth="1"/>
    <col min="5126" max="5126" width="7" customWidth="1"/>
    <col min="5127" max="5127" width="14.33203125" customWidth="1"/>
    <col min="5128" max="5128" width="7.44140625" customWidth="1"/>
    <col min="5129" max="5129" width="17.109375" customWidth="1"/>
    <col min="5130" max="5130" width="7.33203125" customWidth="1"/>
    <col min="5131" max="5131" width="16.44140625" bestFit="1" customWidth="1"/>
    <col min="5361" max="5361" width="3" customWidth="1"/>
    <col min="5362" max="5362" width="46.6640625" customWidth="1"/>
    <col min="5363" max="5363" width="14.88671875" bestFit="1" customWidth="1"/>
    <col min="5364" max="5364" width="6.5546875" customWidth="1"/>
    <col min="5365" max="5365" width="16.88671875" customWidth="1"/>
    <col min="5366" max="5366" width="6.88671875" customWidth="1"/>
    <col min="5367" max="5367" width="14.44140625" customWidth="1"/>
    <col min="5368" max="5368" width="7.6640625" customWidth="1"/>
    <col min="5369" max="5369" width="14.88671875" customWidth="1"/>
    <col min="5370" max="5370" width="6.6640625" customWidth="1"/>
    <col min="5371" max="5371" width="14.88671875" bestFit="1" customWidth="1"/>
    <col min="5372" max="5372" width="8" customWidth="1"/>
    <col min="5373" max="5373" width="14.88671875" bestFit="1" customWidth="1"/>
    <col min="5374" max="5374" width="7.6640625" customWidth="1"/>
    <col min="5375" max="5375" width="14.44140625" bestFit="1" customWidth="1"/>
    <col min="5376" max="5376" width="7" customWidth="1"/>
    <col min="5377" max="5377" width="14.33203125" customWidth="1"/>
    <col min="5378" max="5378" width="7" customWidth="1"/>
    <col min="5379" max="5379" width="16.6640625" bestFit="1" customWidth="1"/>
    <col min="5380" max="5380" width="6.5546875" customWidth="1"/>
    <col min="5381" max="5381" width="15.88671875" customWidth="1"/>
    <col min="5382" max="5382" width="7" customWidth="1"/>
    <col min="5383" max="5383" width="14.33203125" customWidth="1"/>
    <col min="5384" max="5384" width="7.44140625" customWidth="1"/>
    <col min="5385" max="5385" width="17.109375" customWidth="1"/>
    <col min="5386" max="5386" width="7.33203125" customWidth="1"/>
    <col min="5387" max="5387" width="16.44140625" bestFit="1" customWidth="1"/>
    <col min="5617" max="5617" width="3" customWidth="1"/>
    <col min="5618" max="5618" width="46.6640625" customWidth="1"/>
    <col min="5619" max="5619" width="14.88671875" bestFit="1" customWidth="1"/>
    <col min="5620" max="5620" width="6.5546875" customWidth="1"/>
    <col min="5621" max="5621" width="16.88671875" customWidth="1"/>
    <col min="5622" max="5622" width="6.88671875" customWidth="1"/>
    <col min="5623" max="5623" width="14.44140625" customWidth="1"/>
    <col min="5624" max="5624" width="7.6640625" customWidth="1"/>
    <col min="5625" max="5625" width="14.88671875" customWidth="1"/>
    <col min="5626" max="5626" width="6.6640625" customWidth="1"/>
    <col min="5627" max="5627" width="14.88671875" bestFit="1" customWidth="1"/>
    <col min="5628" max="5628" width="8" customWidth="1"/>
    <col min="5629" max="5629" width="14.88671875" bestFit="1" customWidth="1"/>
    <col min="5630" max="5630" width="7.6640625" customWidth="1"/>
    <col min="5631" max="5631" width="14.44140625" bestFit="1" customWidth="1"/>
    <col min="5632" max="5632" width="7" customWidth="1"/>
    <col min="5633" max="5633" width="14.33203125" customWidth="1"/>
    <col min="5634" max="5634" width="7" customWidth="1"/>
    <col min="5635" max="5635" width="16.6640625" bestFit="1" customWidth="1"/>
    <col min="5636" max="5636" width="6.5546875" customWidth="1"/>
    <col min="5637" max="5637" width="15.88671875" customWidth="1"/>
    <col min="5638" max="5638" width="7" customWidth="1"/>
    <col min="5639" max="5639" width="14.33203125" customWidth="1"/>
    <col min="5640" max="5640" width="7.44140625" customWidth="1"/>
    <col min="5641" max="5641" width="17.109375" customWidth="1"/>
    <col min="5642" max="5642" width="7.33203125" customWidth="1"/>
    <col min="5643" max="5643" width="16.44140625" bestFit="1" customWidth="1"/>
    <col min="5873" max="5873" width="3" customWidth="1"/>
    <col min="5874" max="5874" width="46.6640625" customWidth="1"/>
    <col min="5875" max="5875" width="14.88671875" bestFit="1" customWidth="1"/>
    <col min="5876" max="5876" width="6.5546875" customWidth="1"/>
    <col min="5877" max="5877" width="16.88671875" customWidth="1"/>
    <col min="5878" max="5878" width="6.88671875" customWidth="1"/>
    <col min="5879" max="5879" width="14.44140625" customWidth="1"/>
    <col min="5880" max="5880" width="7.6640625" customWidth="1"/>
    <col min="5881" max="5881" width="14.88671875" customWidth="1"/>
    <col min="5882" max="5882" width="6.6640625" customWidth="1"/>
    <col min="5883" max="5883" width="14.88671875" bestFit="1" customWidth="1"/>
    <col min="5884" max="5884" width="8" customWidth="1"/>
    <col min="5885" max="5885" width="14.88671875" bestFit="1" customWidth="1"/>
    <col min="5886" max="5886" width="7.6640625" customWidth="1"/>
    <col min="5887" max="5887" width="14.44140625" bestFit="1" customWidth="1"/>
    <col min="5888" max="5888" width="7" customWidth="1"/>
    <col min="5889" max="5889" width="14.33203125" customWidth="1"/>
    <col min="5890" max="5890" width="7" customWidth="1"/>
    <col min="5891" max="5891" width="16.6640625" bestFit="1" customWidth="1"/>
    <col min="5892" max="5892" width="6.5546875" customWidth="1"/>
    <col min="5893" max="5893" width="15.88671875" customWidth="1"/>
    <col min="5894" max="5894" width="7" customWidth="1"/>
    <col min="5895" max="5895" width="14.33203125" customWidth="1"/>
    <col min="5896" max="5896" width="7.44140625" customWidth="1"/>
    <col min="5897" max="5897" width="17.109375" customWidth="1"/>
    <col min="5898" max="5898" width="7.33203125" customWidth="1"/>
    <col min="5899" max="5899" width="16.44140625" bestFit="1" customWidth="1"/>
    <col min="6129" max="6129" width="3" customWidth="1"/>
    <col min="6130" max="6130" width="46.6640625" customWidth="1"/>
    <col min="6131" max="6131" width="14.88671875" bestFit="1" customWidth="1"/>
    <col min="6132" max="6132" width="6.5546875" customWidth="1"/>
    <col min="6133" max="6133" width="16.88671875" customWidth="1"/>
    <col min="6134" max="6134" width="6.88671875" customWidth="1"/>
    <col min="6135" max="6135" width="14.44140625" customWidth="1"/>
    <col min="6136" max="6136" width="7.6640625" customWidth="1"/>
    <col min="6137" max="6137" width="14.88671875" customWidth="1"/>
    <col min="6138" max="6138" width="6.6640625" customWidth="1"/>
    <col min="6139" max="6139" width="14.88671875" bestFit="1" customWidth="1"/>
    <col min="6140" max="6140" width="8" customWidth="1"/>
    <col min="6141" max="6141" width="14.88671875" bestFit="1" customWidth="1"/>
    <col min="6142" max="6142" width="7.6640625" customWidth="1"/>
    <col min="6143" max="6143" width="14.44140625" bestFit="1" customWidth="1"/>
    <col min="6144" max="6144" width="7" customWidth="1"/>
    <col min="6145" max="6145" width="14.33203125" customWidth="1"/>
    <col min="6146" max="6146" width="7" customWidth="1"/>
    <col min="6147" max="6147" width="16.6640625" bestFit="1" customWidth="1"/>
    <col min="6148" max="6148" width="6.5546875" customWidth="1"/>
    <col min="6149" max="6149" width="15.88671875" customWidth="1"/>
    <col min="6150" max="6150" width="7" customWidth="1"/>
    <col min="6151" max="6151" width="14.33203125" customWidth="1"/>
    <col min="6152" max="6152" width="7.44140625" customWidth="1"/>
    <col min="6153" max="6153" width="17.109375" customWidth="1"/>
    <col min="6154" max="6154" width="7.33203125" customWidth="1"/>
    <col min="6155" max="6155" width="16.44140625" bestFit="1" customWidth="1"/>
    <col min="6385" max="6385" width="3" customWidth="1"/>
    <col min="6386" max="6386" width="46.6640625" customWidth="1"/>
    <col min="6387" max="6387" width="14.88671875" bestFit="1" customWidth="1"/>
    <col min="6388" max="6388" width="6.5546875" customWidth="1"/>
    <col min="6389" max="6389" width="16.88671875" customWidth="1"/>
    <col min="6390" max="6390" width="6.88671875" customWidth="1"/>
    <col min="6391" max="6391" width="14.44140625" customWidth="1"/>
    <col min="6392" max="6392" width="7.6640625" customWidth="1"/>
    <col min="6393" max="6393" width="14.88671875" customWidth="1"/>
    <col min="6394" max="6394" width="6.6640625" customWidth="1"/>
    <col min="6395" max="6395" width="14.88671875" bestFit="1" customWidth="1"/>
    <col min="6396" max="6396" width="8" customWidth="1"/>
    <col min="6397" max="6397" width="14.88671875" bestFit="1" customWidth="1"/>
    <col min="6398" max="6398" width="7.6640625" customWidth="1"/>
    <col min="6399" max="6399" width="14.44140625" bestFit="1" customWidth="1"/>
    <col min="6400" max="6400" width="7" customWidth="1"/>
    <col min="6401" max="6401" width="14.33203125" customWidth="1"/>
    <col min="6402" max="6402" width="7" customWidth="1"/>
    <col min="6403" max="6403" width="16.6640625" bestFit="1" customWidth="1"/>
    <col min="6404" max="6404" width="6.5546875" customWidth="1"/>
    <col min="6405" max="6405" width="15.88671875" customWidth="1"/>
    <col min="6406" max="6406" width="7" customWidth="1"/>
    <col min="6407" max="6407" width="14.33203125" customWidth="1"/>
    <col min="6408" max="6408" width="7.44140625" customWidth="1"/>
    <col min="6409" max="6409" width="17.109375" customWidth="1"/>
    <col min="6410" max="6410" width="7.33203125" customWidth="1"/>
    <col min="6411" max="6411" width="16.44140625" bestFit="1" customWidth="1"/>
    <col min="6641" max="6641" width="3" customWidth="1"/>
    <col min="6642" max="6642" width="46.6640625" customWidth="1"/>
    <col min="6643" max="6643" width="14.88671875" bestFit="1" customWidth="1"/>
    <col min="6644" max="6644" width="6.5546875" customWidth="1"/>
    <col min="6645" max="6645" width="16.88671875" customWidth="1"/>
    <col min="6646" max="6646" width="6.88671875" customWidth="1"/>
    <col min="6647" max="6647" width="14.44140625" customWidth="1"/>
    <col min="6648" max="6648" width="7.6640625" customWidth="1"/>
    <col min="6649" max="6649" width="14.88671875" customWidth="1"/>
    <col min="6650" max="6650" width="6.6640625" customWidth="1"/>
    <col min="6651" max="6651" width="14.88671875" bestFit="1" customWidth="1"/>
    <col min="6652" max="6652" width="8" customWidth="1"/>
    <col min="6653" max="6653" width="14.88671875" bestFit="1" customWidth="1"/>
    <col min="6654" max="6654" width="7.6640625" customWidth="1"/>
    <col min="6655" max="6655" width="14.44140625" bestFit="1" customWidth="1"/>
    <col min="6656" max="6656" width="7" customWidth="1"/>
    <col min="6657" max="6657" width="14.33203125" customWidth="1"/>
    <col min="6658" max="6658" width="7" customWidth="1"/>
    <col min="6659" max="6659" width="16.6640625" bestFit="1" customWidth="1"/>
    <col min="6660" max="6660" width="6.5546875" customWidth="1"/>
    <col min="6661" max="6661" width="15.88671875" customWidth="1"/>
    <col min="6662" max="6662" width="7" customWidth="1"/>
    <col min="6663" max="6663" width="14.33203125" customWidth="1"/>
    <col min="6664" max="6664" width="7.44140625" customWidth="1"/>
    <col min="6665" max="6665" width="17.109375" customWidth="1"/>
    <col min="6666" max="6666" width="7.33203125" customWidth="1"/>
    <col min="6667" max="6667" width="16.44140625" bestFit="1" customWidth="1"/>
    <col min="6897" max="6897" width="3" customWidth="1"/>
    <col min="6898" max="6898" width="46.6640625" customWidth="1"/>
    <col min="6899" max="6899" width="14.88671875" bestFit="1" customWidth="1"/>
    <col min="6900" max="6900" width="6.5546875" customWidth="1"/>
    <col min="6901" max="6901" width="16.88671875" customWidth="1"/>
    <col min="6902" max="6902" width="6.88671875" customWidth="1"/>
    <col min="6903" max="6903" width="14.44140625" customWidth="1"/>
    <col min="6904" max="6904" width="7.6640625" customWidth="1"/>
    <col min="6905" max="6905" width="14.88671875" customWidth="1"/>
    <col min="6906" max="6906" width="6.6640625" customWidth="1"/>
    <col min="6907" max="6907" width="14.88671875" bestFit="1" customWidth="1"/>
    <col min="6908" max="6908" width="8" customWidth="1"/>
    <col min="6909" max="6909" width="14.88671875" bestFit="1" customWidth="1"/>
    <col min="6910" max="6910" width="7.6640625" customWidth="1"/>
    <col min="6911" max="6911" width="14.44140625" bestFit="1" customWidth="1"/>
    <col min="6912" max="6912" width="7" customWidth="1"/>
    <col min="6913" max="6913" width="14.33203125" customWidth="1"/>
    <col min="6914" max="6914" width="7" customWidth="1"/>
    <col min="6915" max="6915" width="16.6640625" bestFit="1" customWidth="1"/>
    <col min="6916" max="6916" width="6.5546875" customWidth="1"/>
    <col min="6917" max="6917" width="15.88671875" customWidth="1"/>
    <col min="6918" max="6918" width="7" customWidth="1"/>
    <col min="6919" max="6919" width="14.33203125" customWidth="1"/>
    <col min="6920" max="6920" width="7.44140625" customWidth="1"/>
    <col min="6921" max="6921" width="17.109375" customWidth="1"/>
    <col min="6922" max="6922" width="7.33203125" customWidth="1"/>
    <col min="6923" max="6923" width="16.44140625" bestFit="1" customWidth="1"/>
    <col min="7153" max="7153" width="3" customWidth="1"/>
    <col min="7154" max="7154" width="46.6640625" customWidth="1"/>
    <col min="7155" max="7155" width="14.88671875" bestFit="1" customWidth="1"/>
    <col min="7156" max="7156" width="6.5546875" customWidth="1"/>
    <col min="7157" max="7157" width="16.88671875" customWidth="1"/>
    <col min="7158" max="7158" width="6.88671875" customWidth="1"/>
    <col min="7159" max="7159" width="14.44140625" customWidth="1"/>
    <col min="7160" max="7160" width="7.6640625" customWidth="1"/>
    <col min="7161" max="7161" width="14.88671875" customWidth="1"/>
    <col min="7162" max="7162" width="6.6640625" customWidth="1"/>
    <col min="7163" max="7163" width="14.88671875" bestFit="1" customWidth="1"/>
    <col min="7164" max="7164" width="8" customWidth="1"/>
    <col min="7165" max="7165" width="14.88671875" bestFit="1" customWidth="1"/>
    <col min="7166" max="7166" width="7.6640625" customWidth="1"/>
    <col min="7167" max="7167" width="14.44140625" bestFit="1" customWidth="1"/>
    <col min="7168" max="7168" width="7" customWidth="1"/>
    <col min="7169" max="7169" width="14.33203125" customWidth="1"/>
    <col min="7170" max="7170" width="7" customWidth="1"/>
    <col min="7171" max="7171" width="16.6640625" bestFit="1" customWidth="1"/>
    <col min="7172" max="7172" width="6.5546875" customWidth="1"/>
    <col min="7173" max="7173" width="15.88671875" customWidth="1"/>
    <col min="7174" max="7174" width="7" customWidth="1"/>
    <col min="7175" max="7175" width="14.33203125" customWidth="1"/>
    <col min="7176" max="7176" width="7.44140625" customWidth="1"/>
    <col min="7177" max="7177" width="17.109375" customWidth="1"/>
    <col min="7178" max="7178" width="7.33203125" customWidth="1"/>
    <col min="7179" max="7179" width="16.44140625" bestFit="1" customWidth="1"/>
    <col min="7409" max="7409" width="3" customWidth="1"/>
    <col min="7410" max="7410" width="46.6640625" customWidth="1"/>
    <col min="7411" max="7411" width="14.88671875" bestFit="1" customWidth="1"/>
    <col min="7412" max="7412" width="6.5546875" customWidth="1"/>
    <col min="7413" max="7413" width="16.88671875" customWidth="1"/>
    <col min="7414" max="7414" width="6.88671875" customWidth="1"/>
    <col min="7415" max="7415" width="14.44140625" customWidth="1"/>
    <col min="7416" max="7416" width="7.6640625" customWidth="1"/>
    <col min="7417" max="7417" width="14.88671875" customWidth="1"/>
    <col min="7418" max="7418" width="6.6640625" customWidth="1"/>
    <col min="7419" max="7419" width="14.88671875" bestFit="1" customWidth="1"/>
    <col min="7420" max="7420" width="8" customWidth="1"/>
    <col min="7421" max="7421" width="14.88671875" bestFit="1" customWidth="1"/>
    <col min="7422" max="7422" width="7.6640625" customWidth="1"/>
    <col min="7423" max="7423" width="14.44140625" bestFit="1" customWidth="1"/>
    <col min="7424" max="7424" width="7" customWidth="1"/>
    <col min="7425" max="7425" width="14.33203125" customWidth="1"/>
    <col min="7426" max="7426" width="7" customWidth="1"/>
    <col min="7427" max="7427" width="16.6640625" bestFit="1" customWidth="1"/>
    <col min="7428" max="7428" width="6.5546875" customWidth="1"/>
    <col min="7429" max="7429" width="15.88671875" customWidth="1"/>
    <col min="7430" max="7430" width="7" customWidth="1"/>
    <col min="7431" max="7431" width="14.33203125" customWidth="1"/>
    <col min="7432" max="7432" width="7.44140625" customWidth="1"/>
    <col min="7433" max="7433" width="17.109375" customWidth="1"/>
    <col min="7434" max="7434" width="7.33203125" customWidth="1"/>
    <col min="7435" max="7435" width="16.44140625" bestFit="1" customWidth="1"/>
    <col min="7665" max="7665" width="3" customWidth="1"/>
    <col min="7666" max="7666" width="46.6640625" customWidth="1"/>
    <col min="7667" max="7667" width="14.88671875" bestFit="1" customWidth="1"/>
    <col min="7668" max="7668" width="6.5546875" customWidth="1"/>
    <col min="7669" max="7669" width="16.88671875" customWidth="1"/>
    <col min="7670" max="7670" width="6.88671875" customWidth="1"/>
    <col min="7671" max="7671" width="14.44140625" customWidth="1"/>
    <col min="7672" max="7672" width="7.6640625" customWidth="1"/>
    <col min="7673" max="7673" width="14.88671875" customWidth="1"/>
    <col min="7674" max="7674" width="6.6640625" customWidth="1"/>
    <col min="7675" max="7675" width="14.88671875" bestFit="1" customWidth="1"/>
    <col min="7676" max="7676" width="8" customWidth="1"/>
    <col min="7677" max="7677" width="14.88671875" bestFit="1" customWidth="1"/>
    <col min="7678" max="7678" width="7.6640625" customWidth="1"/>
    <col min="7679" max="7679" width="14.44140625" bestFit="1" customWidth="1"/>
    <col min="7680" max="7680" width="7" customWidth="1"/>
    <col min="7681" max="7681" width="14.33203125" customWidth="1"/>
    <col min="7682" max="7682" width="7" customWidth="1"/>
    <col min="7683" max="7683" width="16.6640625" bestFit="1" customWidth="1"/>
    <col min="7684" max="7684" width="6.5546875" customWidth="1"/>
    <col min="7685" max="7685" width="15.88671875" customWidth="1"/>
    <col min="7686" max="7686" width="7" customWidth="1"/>
    <col min="7687" max="7687" width="14.33203125" customWidth="1"/>
    <col min="7688" max="7688" width="7.44140625" customWidth="1"/>
    <col min="7689" max="7689" width="17.109375" customWidth="1"/>
    <col min="7690" max="7690" width="7.33203125" customWidth="1"/>
    <col min="7691" max="7691" width="16.44140625" bestFit="1" customWidth="1"/>
    <col min="7921" max="7921" width="3" customWidth="1"/>
    <col min="7922" max="7922" width="46.6640625" customWidth="1"/>
    <col min="7923" max="7923" width="14.88671875" bestFit="1" customWidth="1"/>
    <col min="7924" max="7924" width="6.5546875" customWidth="1"/>
    <col min="7925" max="7925" width="16.88671875" customWidth="1"/>
    <col min="7926" max="7926" width="6.88671875" customWidth="1"/>
    <col min="7927" max="7927" width="14.44140625" customWidth="1"/>
    <col min="7928" max="7928" width="7.6640625" customWidth="1"/>
    <col min="7929" max="7929" width="14.88671875" customWidth="1"/>
    <col min="7930" max="7930" width="6.6640625" customWidth="1"/>
    <col min="7931" max="7931" width="14.88671875" bestFit="1" customWidth="1"/>
    <col min="7932" max="7932" width="8" customWidth="1"/>
    <col min="7933" max="7933" width="14.88671875" bestFit="1" customWidth="1"/>
    <col min="7934" max="7934" width="7.6640625" customWidth="1"/>
    <col min="7935" max="7935" width="14.44140625" bestFit="1" customWidth="1"/>
    <col min="7936" max="7936" width="7" customWidth="1"/>
    <col min="7937" max="7937" width="14.33203125" customWidth="1"/>
    <col min="7938" max="7938" width="7" customWidth="1"/>
    <col min="7939" max="7939" width="16.6640625" bestFit="1" customWidth="1"/>
    <col min="7940" max="7940" width="6.5546875" customWidth="1"/>
    <col min="7941" max="7941" width="15.88671875" customWidth="1"/>
    <col min="7942" max="7942" width="7" customWidth="1"/>
    <col min="7943" max="7943" width="14.33203125" customWidth="1"/>
    <col min="7944" max="7944" width="7.44140625" customWidth="1"/>
    <col min="7945" max="7945" width="17.109375" customWidth="1"/>
    <col min="7946" max="7946" width="7.33203125" customWidth="1"/>
    <col min="7947" max="7947" width="16.44140625" bestFit="1" customWidth="1"/>
    <col min="8177" max="8177" width="3" customWidth="1"/>
    <col min="8178" max="8178" width="46.6640625" customWidth="1"/>
    <col min="8179" max="8179" width="14.88671875" bestFit="1" customWidth="1"/>
    <col min="8180" max="8180" width="6.5546875" customWidth="1"/>
    <col min="8181" max="8181" width="16.88671875" customWidth="1"/>
    <col min="8182" max="8182" width="6.88671875" customWidth="1"/>
    <col min="8183" max="8183" width="14.44140625" customWidth="1"/>
    <col min="8184" max="8184" width="7.6640625" customWidth="1"/>
    <col min="8185" max="8185" width="14.88671875" customWidth="1"/>
    <col min="8186" max="8186" width="6.6640625" customWidth="1"/>
    <col min="8187" max="8187" width="14.88671875" bestFit="1" customWidth="1"/>
    <col min="8188" max="8188" width="8" customWidth="1"/>
    <col min="8189" max="8189" width="14.88671875" bestFit="1" customWidth="1"/>
    <col min="8190" max="8190" width="7.6640625" customWidth="1"/>
    <col min="8191" max="8191" width="14.44140625" bestFit="1" customWidth="1"/>
    <col min="8192" max="8192" width="7" customWidth="1"/>
    <col min="8193" max="8193" width="14.33203125" customWidth="1"/>
    <col min="8194" max="8194" width="7" customWidth="1"/>
    <col min="8195" max="8195" width="16.6640625" bestFit="1" customWidth="1"/>
    <col min="8196" max="8196" width="6.5546875" customWidth="1"/>
    <col min="8197" max="8197" width="15.88671875" customWidth="1"/>
    <col min="8198" max="8198" width="7" customWidth="1"/>
    <col min="8199" max="8199" width="14.33203125" customWidth="1"/>
    <col min="8200" max="8200" width="7.44140625" customWidth="1"/>
    <col min="8201" max="8201" width="17.109375" customWidth="1"/>
    <col min="8202" max="8202" width="7.33203125" customWidth="1"/>
    <col min="8203" max="8203" width="16.44140625" bestFit="1" customWidth="1"/>
    <col min="8433" max="8433" width="3" customWidth="1"/>
    <col min="8434" max="8434" width="46.6640625" customWidth="1"/>
    <col min="8435" max="8435" width="14.88671875" bestFit="1" customWidth="1"/>
    <col min="8436" max="8436" width="6.5546875" customWidth="1"/>
    <col min="8437" max="8437" width="16.88671875" customWidth="1"/>
    <col min="8438" max="8438" width="6.88671875" customWidth="1"/>
    <col min="8439" max="8439" width="14.44140625" customWidth="1"/>
    <col min="8440" max="8440" width="7.6640625" customWidth="1"/>
    <col min="8441" max="8441" width="14.88671875" customWidth="1"/>
    <col min="8442" max="8442" width="6.6640625" customWidth="1"/>
    <col min="8443" max="8443" width="14.88671875" bestFit="1" customWidth="1"/>
    <col min="8444" max="8444" width="8" customWidth="1"/>
    <col min="8445" max="8445" width="14.88671875" bestFit="1" customWidth="1"/>
    <col min="8446" max="8446" width="7.6640625" customWidth="1"/>
    <col min="8447" max="8447" width="14.44140625" bestFit="1" customWidth="1"/>
    <col min="8448" max="8448" width="7" customWidth="1"/>
    <col min="8449" max="8449" width="14.33203125" customWidth="1"/>
    <col min="8450" max="8450" width="7" customWidth="1"/>
    <col min="8451" max="8451" width="16.6640625" bestFit="1" customWidth="1"/>
    <col min="8452" max="8452" width="6.5546875" customWidth="1"/>
    <col min="8453" max="8453" width="15.88671875" customWidth="1"/>
    <col min="8454" max="8454" width="7" customWidth="1"/>
    <col min="8455" max="8455" width="14.33203125" customWidth="1"/>
    <col min="8456" max="8456" width="7.44140625" customWidth="1"/>
    <col min="8457" max="8457" width="17.109375" customWidth="1"/>
    <col min="8458" max="8458" width="7.33203125" customWidth="1"/>
    <col min="8459" max="8459" width="16.44140625" bestFit="1" customWidth="1"/>
    <col min="8689" max="8689" width="3" customWidth="1"/>
    <col min="8690" max="8690" width="46.6640625" customWidth="1"/>
    <col min="8691" max="8691" width="14.88671875" bestFit="1" customWidth="1"/>
    <col min="8692" max="8692" width="6.5546875" customWidth="1"/>
    <col min="8693" max="8693" width="16.88671875" customWidth="1"/>
    <col min="8694" max="8694" width="6.88671875" customWidth="1"/>
    <col min="8695" max="8695" width="14.44140625" customWidth="1"/>
    <col min="8696" max="8696" width="7.6640625" customWidth="1"/>
    <col min="8697" max="8697" width="14.88671875" customWidth="1"/>
    <col min="8698" max="8698" width="6.6640625" customWidth="1"/>
    <col min="8699" max="8699" width="14.88671875" bestFit="1" customWidth="1"/>
    <col min="8700" max="8700" width="8" customWidth="1"/>
    <col min="8701" max="8701" width="14.88671875" bestFit="1" customWidth="1"/>
    <col min="8702" max="8702" width="7.6640625" customWidth="1"/>
    <col min="8703" max="8703" width="14.44140625" bestFit="1" customWidth="1"/>
    <col min="8704" max="8704" width="7" customWidth="1"/>
    <col min="8705" max="8705" width="14.33203125" customWidth="1"/>
    <col min="8706" max="8706" width="7" customWidth="1"/>
    <col min="8707" max="8707" width="16.6640625" bestFit="1" customWidth="1"/>
    <col min="8708" max="8708" width="6.5546875" customWidth="1"/>
    <col min="8709" max="8709" width="15.88671875" customWidth="1"/>
    <col min="8710" max="8710" width="7" customWidth="1"/>
    <col min="8711" max="8711" width="14.33203125" customWidth="1"/>
    <col min="8712" max="8712" width="7.44140625" customWidth="1"/>
    <col min="8713" max="8713" width="17.109375" customWidth="1"/>
    <col min="8714" max="8714" width="7.33203125" customWidth="1"/>
    <col min="8715" max="8715" width="16.44140625" bestFit="1" customWidth="1"/>
    <col min="8945" max="8945" width="3" customWidth="1"/>
    <col min="8946" max="8946" width="46.6640625" customWidth="1"/>
    <col min="8947" max="8947" width="14.88671875" bestFit="1" customWidth="1"/>
    <col min="8948" max="8948" width="6.5546875" customWidth="1"/>
    <col min="8949" max="8949" width="16.88671875" customWidth="1"/>
    <col min="8950" max="8950" width="6.88671875" customWidth="1"/>
    <col min="8951" max="8951" width="14.44140625" customWidth="1"/>
    <col min="8952" max="8952" width="7.6640625" customWidth="1"/>
    <col min="8953" max="8953" width="14.88671875" customWidth="1"/>
    <col min="8954" max="8954" width="6.6640625" customWidth="1"/>
    <col min="8955" max="8955" width="14.88671875" bestFit="1" customWidth="1"/>
    <col min="8956" max="8956" width="8" customWidth="1"/>
    <col min="8957" max="8957" width="14.88671875" bestFit="1" customWidth="1"/>
    <col min="8958" max="8958" width="7.6640625" customWidth="1"/>
    <col min="8959" max="8959" width="14.44140625" bestFit="1" customWidth="1"/>
    <col min="8960" max="8960" width="7" customWidth="1"/>
    <col min="8961" max="8961" width="14.33203125" customWidth="1"/>
    <col min="8962" max="8962" width="7" customWidth="1"/>
    <col min="8963" max="8963" width="16.6640625" bestFit="1" customWidth="1"/>
    <col min="8964" max="8964" width="6.5546875" customWidth="1"/>
    <col min="8965" max="8965" width="15.88671875" customWidth="1"/>
    <col min="8966" max="8966" width="7" customWidth="1"/>
    <col min="8967" max="8967" width="14.33203125" customWidth="1"/>
    <col min="8968" max="8968" width="7.44140625" customWidth="1"/>
    <col min="8969" max="8969" width="17.109375" customWidth="1"/>
    <col min="8970" max="8970" width="7.33203125" customWidth="1"/>
    <col min="8971" max="8971" width="16.44140625" bestFit="1" customWidth="1"/>
    <col min="9201" max="9201" width="3" customWidth="1"/>
    <col min="9202" max="9202" width="46.6640625" customWidth="1"/>
    <col min="9203" max="9203" width="14.88671875" bestFit="1" customWidth="1"/>
    <col min="9204" max="9204" width="6.5546875" customWidth="1"/>
    <col min="9205" max="9205" width="16.88671875" customWidth="1"/>
    <col min="9206" max="9206" width="6.88671875" customWidth="1"/>
    <col min="9207" max="9207" width="14.44140625" customWidth="1"/>
    <col min="9208" max="9208" width="7.6640625" customWidth="1"/>
    <col min="9209" max="9209" width="14.88671875" customWidth="1"/>
    <col min="9210" max="9210" width="6.6640625" customWidth="1"/>
    <col min="9211" max="9211" width="14.88671875" bestFit="1" customWidth="1"/>
    <col min="9212" max="9212" width="8" customWidth="1"/>
    <col min="9213" max="9213" width="14.88671875" bestFit="1" customWidth="1"/>
    <col min="9214" max="9214" width="7.6640625" customWidth="1"/>
    <col min="9215" max="9215" width="14.44140625" bestFit="1" customWidth="1"/>
    <col min="9216" max="9216" width="7" customWidth="1"/>
    <col min="9217" max="9217" width="14.33203125" customWidth="1"/>
    <col min="9218" max="9218" width="7" customWidth="1"/>
    <col min="9219" max="9219" width="16.6640625" bestFit="1" customWidth="1"/>
    <col min="9220" max="9220" width="6.5546875" customWidth="1"/>
    <col min="9221" max="9221" width="15.88671875" customWidth="1"/>
    <col min="9222" max="9222" width="7" customWidth="1"/>
    <col min="9223" max="9223" width="14.33203125" customWidth="1"/>
    <col min="9224" max="9224" width="7.44140625" customWidth="1"/>
    <col min="9225" max="9225" width="17.109375" customWidth="1"/>
    <col min="9226" max="9226" width="7.33203125" customWidth="1"/>
    <col min="9227" max="9227" width="16.44140625" bestFit="1" customWidth="1"/>
    <col min="9457" max="9457" width="3" customWidth="1"/>
    <col min="9458" max="9458" width="46.6640625" customWidth="1"/>
    <col min="9459" max="9459" width="14.88671875" bestFit="1" customWidth="1"/>
    <col min="9460" max="9460" width="6.5546875" customWidth="1"/>
    <col min="9461" max="9461" width="16.88671875" customWidth="1"/>
    <col min="9462" max="9462" width="6.88671875" customWidth="1"/>
    <col min="9463" max="9463" width="14.44140625" customWidth="1"/>
    <col min="9464" max="9464" width="7.6640625" customWidth="1"/>
    <col min="9465" max="9465" width="14.88671875" customWidth="1"/>
    <col min="9466" max="9466" width="6.6640625" customWidth="1"/>
    <col min="9467" max="9467" width="14.88671875" bestFit="1" customWidth="1"/>
    <col min="9468" max="9468" width="8" customWidth="1"/>
    <col min="9469" max="9469" width="14.88671875" bestFit="1" customWidth="1"/>
    <col min="9470" max="9470" width="7.6640625" customWidth="1"/>
    <col min="9471" max="9471" width="14.44140625" bestFit="1" customWidth="1"/>
    <col min="9472" max="9472" width="7" customWidth="1"/>
    <col min="9473" max="9473" width="14.33203125" customWidth="1"/>
    <col min="9474" max="9474" width="7" customWidth="1"/>
    <col min="9475" max="9475" width="16.6640625" bestFit="1" customWidth="1"/>
    <col min="9476" max="9476" width="6.5546875" customWidth="1"/>
    <col min="9477" max="9477" width="15.88671875" customWidth="1"/>
    <col min="9478" max="9478" width="7" customWidth="1"/>
    <col min="9479" max="9479" width="14.33203125" customWidth="1"/>
    <col min="9480" max="9480" width="7.44140625" customWidth="1"/>
    <col min="9481" max="9481" width="17.109375" customWidth="1"/>
    <col min="9482" max="9482" width="7.33203125" customWidth="1"/>
    <col min="9483" max="9483" width="16.44140625" bestFit="1" customWidth="1"/>
    <col min="9713" max="9713" width="3" customWidth="1"/>
    <col min="9714" max="9714" width="46.6640625" customWidth="1"/>
    <col min="9715" max="9715" width="14.88671875" bestFit="1" customWidth="1"/>
    <col min="9716" max="9716" width="6.5546875" customWidth="1"/>
    <col min="9717" max="9717" width="16.88671875" customWidth="1"/>
    <col min="9718" max="9718" width="6.88671875" customWidth="1"/>
    <col min="9719" max="9719" width="14.44140625" customWidth="1"/>
    <col min="9720" max="9720" width="7.6640625" customWidth="1"/>
    <col min="9721" max="9721" width="14.88671875" customWidth="1"/>
    <col min="9722" max="9722" width="6.6640625" customWidth="1"/>
    <col min="9723" max="9723" width="14.88671875" bestFit="1" customWidth="1"/>
    <col min="9724" max="9724" width="8" customWidth="1"/>
    <col min="9725" max="9725" width="14.88671875" bestFit="1" customWidth="1"/>
    <col min="9726" max="9726" width="7.6640625" customWidth="1"/>
    <col min="9727" max="9727" width="14.44140625" bestFit="1" customWidth="1"/>
    <col min="9728" max="9728" width="7" customWidth="1"/>
    <col min="9729" max="9729" width="14.33203125" customWidth="1"/>
    <col min="9730" max="9730" width="7" customWidth="1"/>
    <col min="9731" max="9731" width="16.6640625" bestFit="1" customWidth="1"/>
    <col min="9732" max="9732" width="6.5546875" customWidth="1"/>
    <col min="9733" max="9733" width="15.88671875" customWidth="1"/>
    <col min="9734" max="9734" width="7" customWidth="1"/>
    <col min="9735" max="9735" width="14.33203125" customWidth="1"/>
    <col min="9736" max="9736" width="7.44140625" customWidth="1"/>
    <col min="9737" max="9737" width="17.109375" customWidth="1"/>
    <col min="9738" max="9738" width="7.33203125" customWidth="1"/>
    <col min="9739" max="9739" width="16.44140625" bestFit="1" customWidth="1"/>
    <col min="9969" max="9969" width="3" customWidth="1"/>
    <col min="9970" max="9970" width="46.6640625" customWidth="1"/>
    <col min="9971" max="9971" width="14.88671875" bestFit="1" customWidth="1"/>
    <col min="9972" max="9972" width="6.5546875" customWidth="1"/>
    <col min="9973" max="9973" width="16.88671875" customWidth="1"/>
    <col min="9974" max="9974" width="6.88671875" customWidth="1"/>
    <col min="9975" max="9975" width="14.44140625" customWidth="1"/>
    <col min="9976" max="9976" width="7.6640625" customWidth="1"/>
    <col min="9977" max="9977" width="14.88671875" customWidth="1"/>
    <col min="9978" max="9978" width="6.6640625" customWidth="1"/>
    <col min="9979" max="9979" width="14.88671875" bestFit="1" customWidth="1"/>
    <col min="9980" max="9980" width="8" customWidth="1"/>
    <col min="9981" max="9981" width="14.88671875" bestFit="1" customWidth="1"/>
    <col min="9982" max="9982" width="7.6640625" customWidth="1"/>
    <col min="9983" max="9983" width="14.44140625" bestFit="1" customWidth="1"/>
    <col min="9984" max="9984" width="7" customWidth="1"/>
    <col min="9985" max="9985" width="14.33203125" customWidth="1"/>
    <col min="9986" max="9986" width="7" customWidth="1"/>
    <col min="9987" max="9987" width="16.6640625" bestFit="1" customWidth="1"/>
    <col min="9988" max="9988" width="6.5546875" customWidth="1"/>
    <col min="9989" max="9989" width="15.88671875" customWidth="1"/>
    <col min="9990" max="9990" width="7" customWidth="1"/>
    <col min="9991" max="9991" width="14.33203125" customWidth="1"/>
    <col min="9992" max="9992" width="7.44140625" customWidth="1"/>
    <col min="9993" max="9993" width="17.109375" customWidth="1"/>
    <col min="9994" max="9994" width="7.33203125" customWidth="1"/>
    <col min="9995" max="9995" width="16.44140625" bestFit="1" customWidth="1"/>
    <col min="10225" max="10225" width="3" customWidth="1"/>
    <col min="10226" max="10226" width="46.6640625" customWidth="1"/>
    <col min="10227" max="10227" width="14.88671875" bestFit="1" customWidth="1"/>
    <col min="10228" max="10228" width="6.5546875" customWidth="1"/>
    <col min="10229" max="10229" width="16.88671875" customWidth="1"/>
    <col min="10230" max="10230" width="6.88671875" customWidth="1"/>
    <col min="10231" max="10231" width="14.44140625" customWidth="1"/>
    <col min="10232" max="10232" width="7.6640625" customWidth="1"/>
    <col min="10233" max="10233" width="14.88671875" customWidth="1"/>
    <col min="10234" max="10234" width="6.6640625" customWidth="1"/>
    <col min="10235" max="10235" width="14.88671875" bestFit="1" customWidth="1"/>
    <col min="10236" max="10236" width="8" customWidth="1"/>
    <col min="10237" max="10237" width="14.88671875" bestFit="1" customWidth="1"/>
    <col min="10238" max="10238" width="7.6640625" customWidth="1"/>
    <col min="10239" max="10239" width="14.44140625" bestFit="1" customWidth="1"/>
    <col min="10240" max="10240" width="7" customWidth="1"/>
    <col min="10241" max="10241" width="14.33203125" customWidth="1"/>
    <col min="10242" max="10242" width="7" customWidth="1"/>
    <col min="10243" max="10243" width="16.6640625" bestFit="1" customWidth="1"/>
    <col min="10244" max="10244" width="6.5546875" customWidth="1"/>
    <col min="10245" max="10245" width="15.88671875" customWidth="1"/>
    <col min="10246" max="10246" width="7" customWidth="1"/>
    <col min="10247" max="10247" width="14.33203125" customWidth="1"/>
    <col min="10248" max="10248" width="7.44140625" customWidth="1"/>
    <col min="10249" max="10249" width="17.109375" customWidth="1"/>
    <col min="10250" max="10250" width="7.33203125" customWidth="1"/>
    <col min="10251" max="10251" width="16.44140625" bestFit="1" customWidth="1"/>
    <col min="10481" max="10481" width="3" customWidth="1"/>
    <col min="10482" max="10482" width="46.6640625" customWidth="1"/>
    <col min="10483" max="10483" width="14.88671875" bestFit="1" customWidth="1"/>
    <col min="10484" max="10484" width="6.5546875" customWidth="1"/>
    <col min="10485" max="10485" width="16.88671875" customWidth="1"/>
    <col min="10486" max="10486" width="6.88671875" customWidth="1"/>
    <col min="10487" max="10487" width="14.44140625" customWidth="1"/>
    <col min="10488" max="10488" width="7.6640625" customWidth="1"/>
    <col min="10489" max="10489" width="14.88671875" customWidth="1"/>
    <col min="10490" max="10490" width="6.6640625" customWidth="1"/>
    <col min="10491" max="10491" width="14.88671875" bestFit="1" customWidth="1"/>
    <col min="10492" max="10492" width="8" customWidth="1"/>
    <col min="10493" max="10493" width="14.88671875" bestFit="1" customWidth="1"/>
    <col min="10494" max="10494" width="7.6640625" customWidth="1"/>
    <col min="10495" max="10495" width="14.44140625" bestFit="1" customWidth="1"/>
    <col min="10496" max="10496" width="7" customWidth="1"/>
    <col min="10497" max="10497" width="14.33203125" customWidth="1"/>
    <col min="10498" max="10498" width="7" customWidth="1"/>
    <col min="10499" max="10499" width="16.6640625" bestFit="1" customWidth="1"/>
    <col min="10500" max="10500" width="6.5546875" customWidth="1"/>
    <col min="10501" max="10501" width="15.88671875" customWidth="1"/>
    <col min="10502" max="10502" width="7" customWidth="1"/>
    <col min="10503" max="10503" width="14.33203125" customWidth="1"/>
    <col min="10504" max="10504" width="7.44140625" customWidth="1"/>
    <col min="10505" max="10505" width="17.109375" customWidth="1"/>
    <col min="10506" max="10506" width="7.33203125" customWidth="1"/>
    <col min="10507" max="10507" width="16.44140625" bestFit="1" customWidth="1"/>
    <col min="10737" max="10737" width="3" customWidth="1"/>
    <col min="10738" max="10738" width="46.6640625" customWidth="1"/>
    <col min="10739" max="10739" width="14.88671875" bestFit="1" customWidth="1"/>
    <col min="10740" max="10740" width="6.5546875" customWidth="1"/>
    <col min="10741" max="10741" width="16.88671875" customWidth="1"/>
    <col min="10742" max="10742" width="6.88671875" customWidth="1"/>
    <col min="10743" max="10743" width="14.44140625" customWidth="1"/>
    <col min="10744" max="10744" width="7.6640625" customWidth="1"/>
    <col min="10745" max="10745" width="14.88671875" customWidth="1"/>
    <col min="10746" max="10746" width="6.6640625" customWidth="1"/>
    <col min="10747" max="10747" width="14.88671875" bestFit="1" customWidth="1"/>
    <col min="10748" max="10748" width="8" customWidth="1"/>
    <col min="10749" max="10749" width="14.88671875" bestFit="1" customWidth="1"/>
    <col min="10750" max="10750" width="7.6640625" customWidth="1"/>
    <col min="10751" max="10751" width="14.44140625" bestFit="1" customWidth="1"/>
    <col min="10752" max="10752" width="7" customWidth="1"/>
    <col min="10753" max="10753" width="14.33203125" customWidth="1"/>
    <col min="10754" max="10754" width="7" customWidth="1"/>
    <col min="10755" max="10755" width="16.6640625" bestFit="1" customWidth="1"/>
    <col min="10756" max="10756" width="6.5546875" customWidth="1"/>
    <col min="10757" max="10757" width="15.88671875" customWidth="1"/>
    <col min="10758" max="10758" width="7" customWidth="1"/>
    <col min="10759" max="10759" width="14.33203125" customWidth="1"/>
    <col min="10760" max="10760" width="7.44140625" customWidth="1"/>
    <col min="10761" max="10761" width="17.109375" customWidth="1"/>
    <col min="10762" max="10762" width="7.33203125" customWidth="1"/>
    <col min="10763" max="10763" width="16.44140625" bestFit="1" customWidth="1"/>
    <col min="10993" max="10993" width="3" customWidth="1"/>
    <col min="10994" max="10994" width="46.6640625" customWidth="1"/>
    <col min="10995" max="10995" width="14.88671875" bestFit="1" customWidth="1"/>
    <col min="10996" max="10996" width="6.5546875" customWidth="1"/>
    <col min="10997" max="10997" width="16.88671875" customWidth="1"/>
    <col min="10998" max="10998" width="6.88671875" customWidth="1"/>
    <col min="10999" max="10999" width="14.44140625" customWidth="1"/>
    <col min="11000" max="11000" width="7.6640625" customWidth="1"/>
    <col min="11001" max="11001" width="14.88671875" customWidth="1"/>
    <col min="11002" max="11002" width="6.6640625" customWidth="1"/>
    <col min="11003" max="11003" width="14.88671875" bestFit="1" customWidth="1"/>
    <col min="11004" max="11004" width="8" customWidth="1"/>
    <col min="11005" max="11005" width="14.88671875" bestFit="1" customWidth="1"/>
    <col min="11006" max="11006" width="7.6640625" customWidth="1"/>
    <col min="11007" max="11007" width="14.44140625" bestFit="1" customWidth="1"/>
    <col min="11008" max="11008" width="7" customWidth="1"/>
    <col min="11009" max="11009" width="14.33203125" customWidth="1"/>
    <col min="11010" max="11010" width="7" customWidth="1"/>
    <col min="11011" max="11011" width="16.6640625" bestFit="1" customWidth="1"/>
    <col min="11012" max="11012" width="6.5546875" customWidth="1"/>
    <col min="11013" max="11013" width="15.88671875" customWidth="1"/>
    <col min="11014" max="11014" width="7" customWidth="1"/>
    <col min="11015" max="11015" width="14.33203125" customWidth="1"/>
    <col min="11016" max="11016" width="7.44140625" customWidth="1"/>
    <col min="11017" max="11017" width="17.109375" customWidth="1"/>
    <col min="11018" max="11018" width="7.33203125" customWidth="1"/>
    <col min="11019" max="11019" width="16.44140625" bestFit="1" customWidth="1"/>
    <col min="11249" max="11249" width="3" customWidth="1"/>
    <col min="11250" max="11250" width="46.6640625" customWidth="1"/>
    <col min="11251" max="11251" width="14.88671875" bestFit="1" customWidth="1"/>
    <col min="11252" max="11252" width="6.5546875" customWidth="1"/>
    <col min="11253" max="11253" width="16.88671875" customWidth="1"/>
    <col min="11254" max="11254" width="6.88671875" customWidth="1"/>
    <col min="11255" max="11255" width="14.44140625" customWidth="1"/>
    <col min="11256" max="11256" width="7.6640625" customWidth="1"/>
    <col min="11257" max="11257" width="14.88671875" customWidth="1"/>
    <col min="11258" max="11258" width="6.6640625" customWidth="1"/>
    <col min="11259" max="11259" width="14.88671875" bestFit="1" customWidth="1"/>
    <col min="11260" max="11260" width="8" customWidth="1"/>
    <col min="11261" max="11261" width="14.88671875" bestFit="1" customWidth="1"/>
    <col min="11262" max="11262" width="7.6640625" customWidth="1"/>
    <col min="11263" max="11263" width="14.44140625" bestFit="1" customWidth="1"/>
    <col min="11264" max="11264" width="7" customWidth="1"/>
    <col min="11265" max="11265" width="14.33203125" customWidth="1"/>
    <col min="11266" max="11266" width="7" customWidth="1"/>
    <col min="11267" max="11267" width="16.6640625" bestFit="1" customWidth="1"/>
    <col min="11268" max="11268" width="6.5546875" customWidth="1"/>
    <col min="11269" max="11269" width="15.88671875" customWidth="1"/>
    <col min="11270" max="11270" width="7" customWidth="1"/>
    <col min="11271" max="11271" width="14.33203125" customWidth="1"/>
    <col min="11272" max="11272" width="7.44140625" customWidth="1"/>
    <col min="11273" max="11273" width="17.109375" customWidth="1"/>
    <col min="11274" max="11274" width="7.33203125" customWidth="1"/>
    <col min="11275" max="11275" width="16.44140625" bestFit="1" customWidth="1"/>
    <col min="11505" max="11505" width="3" customWidth="1"/>
    <col min="11506" max="11506" width="46.6640625" customWidth="1"/>
    <col min="11507" max="11507" width="14.88671875" bestFit="1" customWidth="1"/>
    <col min="11508" max="11508" width="6.5546875" customWidth="1"/>
    <col min="11509" max="11509" width="16.88671875" customWidth="1"/>
    <col min="11510" max="11510" width="6.88671875" customWidth="1"/>
    <col min="11511" max="11511" width="14.44140625" customWidth="1"/>
    <col min="11512" max="11512" width="7.6640625" customWidth="1"/>
    <col min="11513" max="11513" width="14.88671875" customWidth="1"/>
    <col min="11514" max="11514" width="6.6640625" customWidth="1"/>
    <col min="11515" max="11515" width="14.88671875" bestFit="1" customWidth="1"/>
    <col min="11516" max="11516" width="8" customWidth="1"/>
    <col min="11517" max="11517" width="14.88671875" bestFit="1" customWidth="1"/>
    <col min="11518" max="11518" width="7.6640625" customWidth="1"/>
    <col min="11519" max="11519" width="14.44140625" bestFit="1" customWidth="1"/>
    <col min="11520" max="11520" width="7" customWidth="1"/>
    <col min="11521" max="11521" width="14.33203125" customWidth="1"/>
    <col min="11522" max="11522" width="7" customWidth="1"/>
    <col min="11523" max="11523" width="16.6640625" bestFit="1" customWidth="1"/>
    <col min="11524" max="11524" width="6.5546875" customWidth="1"/>
    <col min="11525" max="11525" width="15.88671875" customWidth="1"/>
    <col min="11526" max="11526" width="7" customWidth="1"/>
    <col min="11527" max="11527" width="14.33203125" customWidth="1"/>
    <col min="11528" max="11528" width="7.44140625" customWidth="1"/>
    <col min="11529" max="11529" width="17.109375" customWidth="1"/>
    <col min="11530" max="11530" width="7.33203125" customWidth="1"/>
    <col min="11531" max="11531" width="16.44140625" bestFit="1" customWidth="1"/>
    <col min="11761" max="11761" width="3" customWidth="1"/>
    <col min="11762" max="11762" width="46.6640625" customWidth="1"/>
    <col min="11763" max="11763" width="14.88671875" bestFit="1" customWidth="1"/>
    <col min="11764" max="11764" width="6.5546875" customWidth="1"/>
    <col min="11765" max="11765" width="16.88671875" customWidth="1"/>
    <col min="11766" max="11766" width="6.88671875" customWidth="1"/>
    <col min="11767" max="11767" width="14.44140625" customWidth="1"/>
    <col min="11768" max="11768" width="7.6640625" customWidth="1"/>
    <col min="11769" max="11769" width="14.88671875" customWidth="1"/>
    <col min="11770" max="11770" width="6.6640625" customWidth="1"/>
    <col min="11771" max="11771" width="14.88671875" bestFit="1" customWidth="1"/>
    <col min="11772" max="11772" width="8" customWidth="1"/>
    <col min="11773" max="11773" width="14.88671875" bestFit="1" customWidth="1"/>
    <col min="11774" max="11774" width="7.6640625" customWidth="1"/>
    <col min="11775" max="11775" width="14.44140625" bestFit="1" customWidth="1"/>
    <col min="11776" max="11776" width="7" customWidth="1"/>
    <col min="11777" max="11777" width="14.33203125" customWidth="1"/>
    <col min="11778" max="11778" width="7" customWidth="1"/>
    <col min="11779" max="11779" width="16.6640625" bestFit="1" customWidth="1"/>
    <col min="11780" max="11780" width="6.5546875" customWidth="1"/>
    <col min="11781" max="11781" width="15.88671875" customWidth="1"/>
    <col min="11782" max="11782" width="7" customWidth="1"/>
    <col min="11783" max="11783" width="14.33203125" customWidth="1"/>
    <col min="11784" max="11784" width="7.44140625" customWidth="1"/>
    <col min="11785" max="11785" width="17.109375" customWidth="1"/>
    <col min="11786" max="11786" width="7.33203125" customWidth="1"/>
    <col min="11787" max="11787" width="16.44140625" bestFit="1" customWidth="1"/>
    <col min="12017" max="12017" width="3" customWidth="1"/>
    <col min="12018" max="12018" width="46.6640625" customWidth="1"/>
    <col min="12019" max="12019" width="14.88671875" bestFit="1" customWidth="1"/>
    <col min="12020" max="12020" width="6.5546875" customWidth="1"/>
    <col min="12021" max="12021" width="16.88671875" customWidth="1"/>
    <col min="12022" max="12022" width="6.88671875" customWidth="1"/>
    <col min="12023" max="12023" width="14.44140625" customWidth="1"/>
    <col min="12024" max="12024" width="7.6640625" customWidth="1"/>
    <col min="12025" max="12025" width="14.88671875" customWidth="1"/>
    <col min="12026" max="12026" width="6.6640625" customWidth="1"/>
    <col min="12027" max="12027" width="14.88671875" bestFit="1" customWidth="1"/>
    <col min="12028" max="12028" width="8" customWidth="1"/>
    <col min="12029" max="12029" width="14.88671875" bestFit="1" customWidth="1"/>
    <col min="12030" max="12030" width="7.6640625" customWidth="1"/>
    <col min="12031" max="12031" width="14.44140625" bestFit="1" customWidth="1"/>
    <col min="12032" max="12032" width="7" customWidth="1"/>
    <col min="12033" max="12033" width="14.33203125" customWidth="1"/>
    <col min="12034" max="12034" width="7" customWidth="1"/>
    <col min="12035" max="12035" width="16.6640625" bestFit="1" customWidth="1"/>
    <col min="12036" max="12036" width="6.5546875" customWidth="1"/>
    <col min="12037" max="12037" width="15.88671875" customWidth="1"/>
    <col min="12038" max="12038" width="7" customWidth="1"/>
    <col min="12039" max="12039" width="14.33203125" customWidth="1"/>
    <col min="12040" max="12040" width="7.44140625" customWidth="1"/>
    <col min="12041" max="12041" width="17.109375" customWidth="1"/>
    <col min="12042" max="12042" width="7.33203125" customWidth="1"/>
    <col min="12043" max="12043" width="16.44140625" bestFit="1" customWidth="1"/>
    <col min="12273" max="12273" width="3" customWidth="1"/>
    <col min="12274" max="12274" width="46.6640625" customWidth="1"/>
    <col min="12275" max="12275" width="14.88671875" bestFit="1" customWidth="1"/>
    <col min="12276" max="12276" width="6.5546875" customWidth="1"/>
    <col min="12277" max="12277" width="16.88671875" customWidth="1"/>
    <col min="12278" max="12278" width="6.88671875" customWidth="1"/>
    <col min="12279" max="12279" width="14.44140625" customWidth="1"/>
    <col min="12280" max="12280" width="7.6640625" customWidth="1"/>
    <col min="12281" max="12281" width="14.88671875" customWidth="1"/>
    <col min="12282" max="12282" width="6.6640625" customWidth="1"/>
    <col min="12283" max="12283" width="14.88671875" bestFit="1" customWidth="1"/>
    <col min="12284" max="12284" width="8" customWidth="1"/>
    <col min="12285" max="12285" width="14.88671875" bestFit="1" customWidth="1"/>
    <col min="12286" max="12286" width="7.6640625" customWidth="1"/>
    <col min="12287" max="12287" width="14.44140625" bestFit="1" customWidth="1"/>
    <col min="12288" max="12288" width="7" customWidth="1"/>
    <col min="12289" max="12289" width="14.33203125" customWidth="1"/>
    <col min="12290" max="12290" width="7" customWidth="1"/>
    <col min="12291" max="12291" width="16.6640625" bestFit="1" customWidth="1"/>
    <col min="12292" max="12292" width="6.5546875" customWidth="1"/>
    <col min="12293" max="12293" width="15.88671875" customWidth="1"/>
    <col min="12294" max="12294" width="7" customWidth="1"/>
    <col min="12295" max="12295" width="14.33203125" customWidth="1"/>
    <col min="12296" max="12296" width="7.44140625" customWidth="1"/>
    <col min="12297" max="12297" width="17.109375" customWidth="1"/>
    <col min="12298" max="12298" width="7.33203125" customWidth="1"/>
    <col min="12299" max="12299" width="16.44140625" bestFit="1" customWidth="1"/>
    <col min="12529" max="12529" width="3" customWidth="1"/>
    <col min="12530" max="12530" width="46.6640625" customWidth="1"/>
    <col min="12531" max="12531" width="14.88671875" bestFit="1" customWidth="1"/>
    <col min="12532" max="12532" width="6.5546875" customWidth="1"/>
    <col min="12533" max="12533" width="16.88671875" customWidth="1"/>
    <col min="12534" max="12534" width="6.88671875" customWidth="1"/>
    <col min="12535" max="12535" width="14.44140625" customWidth="1"/>
    <col min="12536" max="12536" width="7.6640625" customWidth="1"/>
    <col min="12537" max="12537" width="14.88671875" customWidth="1"/>
    <col min="12538" max="12538" width="6.6640625" customWidth="1"/>
    <col min="12539" max="12539" width="14.88671875" bestFit="1" customWidth="1"/>
    <col min="12540" max="12540" width="8" customWidth="1"/>
    <col min="12541" max="12541" width="14.88671875" bestFit="1" customWidth="1"/>
    <col min="12542" max="12542" width="7.6640625" customWidth="1"/>
    <col min="12543" max="12543" width="14.44140625" bestFit="1" customWidth="1"/>
    <col min="12544" max="12544" width="7" customWidth="1"/>
    <col min="12545" max="12545" width="14.33203125" customWidth="1"/>
    <col min="12546" max="12546" width="7" customWidth="1"/>
    <col min="12547" max="12547" width="16.6640625" bestFit="1" customWidth="1"/>
    <col min="12548" max="12548" width="6.5546875" customWidth="1"/>
    <col min="12549" max="12549" width="15.88671875" customWidth="1"/>
    <col min="12550" max="12550" width="7" customWidth="1"/>
    <col min="12551" max="12551" width="14.33203125" customWidth="1"/>
    <col min="12552" max="12552" width="7.44140625" customWidth="1"/>
    <col min="12553" max="12553" width="17.109375" customWidth="1"/>
    <col min="12554" max="12554" width="7.33203125" customWidth="1"/>
    <col min="12555" max="12555" width="16.44140625" bestFit="1" customWidth="1"/>
    <col min="12785" max="12785" width="3" customWidth="1"/>
    <col min="12786" max="12786" width="46.6640625" customWidth="1"/>
    <col min="12787" max="12787" width="14.88671875" bestFit="1" customWidth="1"/>
    <col min="12788" max="12788" width="6.5546875" customWidth="1"/>
    <col min="12789" max="12789" width="16.88671875" customWidth="1"/>
    <col min="12790" max="12790" width="6.88671875" customWidth="1"/>
    <col min="12791" max="12791" width="14.44140625" customWidth="1"/>
    <col min="12792" max="12792" width="7.6640625" customWidth="1"/>
    <col min="12793" max="12793" width="14.88671875" customWidth="1"/>
    <col min="12794" max="12794" width="6.6640625" customWidth="1"/>
    <col min="12795" max="12795" width="14.88671875" bestFit="1" customWidth="1"/>
    <col min="12796" max="12796" width="8" customWidth="1"/>
    <col min="12797" max="12797" width="14.88671875" bestFit="1" customWidth="1"/>
    <col min="12798" max="12798" width="7.6640625" customWidth="1"/>
    <col min="12799" max="12799" width="14.44140625" bestFit="1" customWidth="1"/>
    <col min="12800" max="12800" width="7" customWidth="1"/>
    <col min="12801" max="12801" width="14.33203125" customWidth="1"/>
    <col min="12802" max="12802" width="7" customWidth="1"/>
    <col min="12803" max="12803" width="16.6640625" bestFit="1" customWidth="1"/>
    <col min="12804" max="12804" width="6.5546875" customWidth="1"/>
    <col min="12805" max="12805" width="15.88671875" customWidth="1"/>
    <col min="12806" max="12806" width="7" customWidth="1"/>
    <col min="12807" max="12807" width="14.33203125" customWidth="1"/>
    <col min="12808" max="12808" width="7.44140625" customWidth="1"/>
    <col min="12809" max="12809" width="17.109375" customWidth="1"/>
    <col min="12810" max="12810" width="7.33203125" customWidth="1"/>
    <col min="12811" max="12811" width="16.44140625" bestFit="1" customWidth="1"/>
    <col min="13041" max="13041" width="3" customWidth="1"/>
    <col min="13042" max="13042" width="46.6640625" customWidth="1"/>
    <col min="13043" max="13043" width="14.88671875" bestFit="1" customWidth="1"/>
    <col min="13044" max="13044" width="6.5546875" customWidth="1"/>
    <col min="13045" max="13045" width="16.88671875" customWidth="1"/>
    <col min="13046" max="13046" width="6.88671875" customWidth="1"/>
    <col min="13047" max="13047" width="14.44140625" customWidth="1"/>
    <col min="13048" max="13048" width="7.6640625" customWidth="1"/>
    <col min="13049" max="13049" width="14.88671875" customWidth="1"/>
    <col min="13050" max="13050" width="6.6640625" customWidth="1"/>
    <col min="13051" max="13051" width="14.88671875" bestFit="1" customWidth="1"/>
    <col min="13052" max="13052" width="8" customWidth="1"/>
    <col min="13053" max="13053" width="14.88671875" bestFit="1" customWidth="1"/>
    <col min="13054" max="13054" width="7.6640625" customWidth="1"/>
    <col min="13055" max="13055" width="14.44140625" bestFit="1" customWidth="1"/>
    <col min="13056" max="13056" width="7" customWidth="1"/>
    <col min="13057" max="13057" width="14.33203125" customWidth="1"/>
    <col min="13058" max="13058" width="7" customWidth="1"/>
    <col min="13059" max="13059" width="16.6640625" bestFit="1" customWidth="1"/>
    <col min="13060" max="13060" width="6.5546875" customWidth="1"/>
    <col min="13061" max="13061" width="15.88671875" customWidth="1"/>
    <col min="13062" max="13062" width="7" customWidth="1"/>
    <col min="13063" max="13063" width="14.33203125" customWidth="1"/>
    <col min="13064" max="13064" width="7.44140625" customWidth="1"/>
    <col min="13065" max="13065" width="17.109375" customWidth="1"/>
    <col min="13066" max="13066" width="7.33203125" customWidth="1"/>
    <col min="13067" max="13067" width="16.44140625" bestFit="1" customWidth="1"/>
    <col min="13297" max="13297" width="3" customWidth="1"/>
    <col min="13298" max="13298" width="46.6640625" customWidth="1"/>
    <col min="13299" max="13299" width="14.88671875" bestFit="1" customWidth="1"/>
    <col min="13300" max="13300" width="6.5546875" customWidth="1"/>
    <col min="13301" max="13301" width="16.88671875" customWidth="1"/>
    <col min="13302" max="13302" width="6.88671875" customWidth="1"/>
    <col min="13303" max="13303" width="14.44140625" customWidth="1"/>
    <col min="13304" max="13304" width="7.6640625" customWidth="1"/>
    <col min="13305" max="13305" width="14.88671875" customWidth="1"/>
    <col min="13306" max="13306" width="6.6640625" customWidth="1"/>
    <col min="13307" max="13307" width="14.88671875" bestFit="1" customWidth="1"/>
    <col min="13308" max="13308" width="8" customWidth="1"/>
    <col min="13309" max="13309" width="14.88671875" bestFit="1" customWidth="1"/>
    <col min="13310" max="13310" width="7.6640625" customWidth="1"/>
    <col min="13311" max="13311" width="14.44140625" bestFit="1" customWidth="1"/>
    <col min="13312" max="13312" width="7" customWidth="1"/>
    <col min="13313" max="13313" width="14.33203125" customWidth="1"/>
    <col min="13314" max="13314" width="7" customWidth="1"/>
    <col min="13315" max="13315" width="16.6640625" bestFit="1" customWidth="1"/>
    <col min="13316" max="13316" width="6.5546875" customWidth="1"/>
    <col min="13317" max="13317" width="15.88671875" customWidth="1"/>
    <col min="13318" max="13318" width="7" customWidth="1"/>
    <col min="13319" max="13319" width="14.33203125" customWidth="1"/>
    <col min="13320" max="13320" width="7.44140625" customWidth="1"/>
    <col min="13321" max="13321" width="17.109375" customWidth="1"/>
    <col min="13322" max="13322" width="7.33203125" customWidth="1"/>
    <col min="13323" max="13323" width="16.44140625" bestFit="1" customWidth="1"/>
    <col min="13553" max="13553" width="3" customWidth="1"/>
    <col min="13554" max="13554" width="46.6640625" customWidth="1"/>
    <col min="13555" max="13555" width="14.88671875" bestFit="1" customWidth="1"/>
    <col min="13556" max="13556" width="6.5546875" customWidth="1"/>
    <col min="13557" max="13557" width="16.88671875" customWidth="1"/>
    <col min="13558" max="13558" width="6.88671875" customWidth="1"/>
    <col min="13559" max="13559" width="14.44140625" customWidth="1"/>
    <col min="13560" max="13560" width="7.6640625" customWidth="1"/>
    <col min="13561" max="13561" width="14.88671875" customWidth="1"/>
    <col min="13562" max="13562" width="6.6640625" customWidth="1"/>
    <col min="13563" max="13563" width="14.88671875" bestFit="1" customWidth="1"/>
    <col min="13564" max="13564" width="8" customWidth="1"/>
    <col min="13565" max="13565" width="14.88671875" bestFit="1" customWidth="1"/>
    <col min="13566" max="13566" width="7.6640625" customWidth="1"/>
    <col min="13567" max="13567" width="14.44140625" bestFit="1" customWidth="1"/>
    <col min="13568" max="13568" width="7" customWidth="1"/>
    <col min="13569" max="13569" width="14.33203125" customWidth="1"/>
    <col min="13570" max="13570" width="7" customWidth="1"/>
    <col min="13571" max="13571" width="16.6640625" bestFit="1" customWidth="1"/>
    <col min="13572" max="13572" width="6.5546875" customWidth="1"/>
    <col min="13573" max="13573" width="15.88671875" customWidth="1"/>
    <col min="13574" max="13574" width="7" customWidth="1"/>
    <col min="13575" max="13575" width="14.33203125" customWidth="1"/>
    <col min="13576" max="13576" width="7.44140625" customWidth="1"/>
    <col min="13577" max="13577" width="17.109375" customWidth="1"/>
    <col min="13578" max="13578" width="7.33203125" customWidth="1"/>
    <col min="13579" max="13579" width="16.44140625" bestFit="1" customWidth="1"/>
    <col min="13809" max="13809" width="3" customWidth="1"/>
    <col min="13810" max="13810" width="46.6640625" customWidth="1"/>
    <col min="13811" max="13811" width="14.88671875" bestFit="1" customWidth="1"/>
    <col min="13812" max="13812" width="6.5546875" customWidth="1"/>
    <col min="13813" max="13813" width="16.88671875" customWidth="1"/>
    <col min="13814" max="13814" width="6.88671875" customWidth="1"/>
    <col min="13815" max="13815" width="14.44140625" customWidth="1"/>
    <col min="13816" max="13816" width="7.6640625" customWidth="1"/>
    <col min="13817" max="13817" width="14.88671875" customWidth="1"/>
    <col min="13818" max="13818" width="6.6640625" customWidth="1"/>
    <col min="13819" max="13819" width="14.88671875" bestFit="1" customWidth="1"/>
    <col min="13820" max="13820" width="8" customWidth="1"/>
    <col min="13821" max="13821" width="14.88671875" bestFit="1" customWidth="1"/>
    <col min="13822" max="13822" width="7.6640625" customWidth="1"/>
    <col min="13823" max="13823" width="14.44140625" bestFit="1" customWidth="1"/>
    <col min="13824" max="13824" width="7" customWidth="1"/>
    <col min="13825" max="13825" width="14.33203125" customWidth="1"/>
    <col min="13826" max="13826" width="7" customWidth="1"/>
    <col min="13827" max="13827" width="16.6640625" bestFit="1" customWidth="1"/>
    <col min="13828" max="13828" width="6.5546875" customWidth="1"/>
    <col min="13829" max="13829" width="15.88671875" customWidth="1"/>
    <col min="13830" max="13830" width="7" customWidth="1"/>
    <col min="13831" max="13831" width="14.33203125" customWidth="1"/>
    <col min="13832" max="13832" width="7.44140625" customWidth="1"/>
    <col min="13833" max="13833" width="17.109375" customWidth="1"/>
    <col min="13834" max="13834" width="7.33203125" customWidth="1"/>
    <col min="13835" max="13835" width="16.44140625" bestFit="1" customWidth="1"/>
    <col min="14065" max="14065" width="3" customWidth="1"/>
    <col min="14066" max="14066" width="46.6640625" customWidth="1"/>
    <col min="14067" max="14067" width="14.88671875" bestFit="1" customWidth="1"/>
    <col min="14068" max="14068" width="6.5546875" customWidth="1"/>
    <col min="14069" max="14069" width="16.88671875" customWidth="1"/>
    <col min="14070" max="14070" width="6.88671875" customWidth="1"/>
    <col min="14071" max="14071" width="14.44140625" customWidth="1"/>
    <col min="14072" max="14072" width="7.6640625" customWidth="1"/>
    <col min="14073" max="14073" width="14.88671875" customWidth="1"/>
    <col min="14074" max="14074" width="6.6640625" customWidth="1"/>
    <col min="14075" max="14075" width="14.88671875" bestFit="1" customWidth="1"/>
    <col min="14076" max="14076" width="8" customWidth="1"/>
    <col min="14077" max="14077" width="14.88671875" bestFit="1" customWidth="1"/>
    <col min="14078" max="14078" width="7.6640625" customWidth="1"/>
    <col min="14079" max="14079" width="14.44140625" bestFit="1" customWidth="1"/>
    <col min="14080" max="14080" width="7" customWidth="1"/>
    <col min="14081" max="14081" width="14.33203125" customWidth="1"/>
    <col min="14082" max="14082" width="7" customWidth="1"/>
    <col min="14083" max="14083" width="16.6640625" bestFit="1" customWidth="1"/>
    <col min="14084" max="14084" width="6.5546875" customWidth="1"/>
    <col min="14085" max="14085" width="15.88671875" customWidth="1"/>
    <col min="14086" max="14086" width="7" customWidth="1"/>
    <col min="14087" max="14087" width="14.33203125" customWidth="1"/>
    <col min="14088" max="14088" width="7.44140625" customWidth="1"/>
    <col min="14089" max="14089" width="17.109375" customWidth="1"/>
    <col min="14090" max="14090" width="7.33203125" customWidth="1"/>
    <col min="14091" max="14091" width="16.44140625" bestFit="1" customWidth="1"/>
    <col min="14321" max="14321" width="3" customWidth="1"/>
    <col min="14322" max="14322" width="46.6640625" customWidth="1"/>
    <col min="14323" max="14323" width="14.88671875" bestFit="1" customWidth="1"/>
    <col min="14324" max="14324" width="6.5546875" customWidth="1"/>
    <col min="14325" max="14325" width="16.88671875" customWidth="1"/>
    <col min="14326" max="14326" width="6.88671875" customWidth="1"/>
    <col min="14327" max="14327" width="14.44140625" customWidth="1"/>
    <col min="14328" max="14328" width="7.6640625" customWidth="1"/>
    <col min="14329" max="14329" width="14.88671875" customWidth="1"/>
    <col min="14330" max="14330" width="6.6640625" customWidth="1"/>
    <col min="14331" max="14331" width="14.88671875" bestFit="1" customWidth="1"/>
    <col min="14332" max="14332" width="8" customWidth="1"/>
    <col min="14333" max="14333" width="14.88671875" bestFit="1" customWidth="1"/>
    <col min="14334" max="14334" width="7.6640625" customWidth="1"/>
    <col min="14335" max="14335" width="14.44140625" bestFit="1" customWidth="1"/>
    <col min="14336" max="14336" width="7" customWidth="1"/>
    <col min="14337" max="14337" width="14.33203125" customWidth="1"/>
    <col min="14338" max="14338" width="7" customWidth="1"/>
    <col min="14339" max="14339" width="16.6640625" bestFit="1" customWidth="1"/>
    <col min="14340" max="14340" width="6.5546875" customWidth="1"/>
    <col min="14341" max="14341" width="15.88671875" customWidth="1"/>
    <col min="14342" max="14342" width="7" customWidth="1"/>
    <col min="14343" max="14343" width="14.33203125" customWidth="1"/>
    <col min="14344" max="14344" width="7.44140625" customWidth="1"/>
    <col min="14345" max="14345" width="17.109375" customWidth="1"/>
    <col min="14346" max="14346" width="7.33203125" customWidth="1"/>
    <col min="14347" max="14347" width="16.44140625" bestFit="1" customWidth="1"/>
    <col min="14577" max="14577" width="3" customWidth="1"/>
    <col min="14578" max="14578" width="46.6640625" customWidth="1"/>
    <col min="14579" max="14579" width="14.88671875" bestFit="1" customWidth="1"/>
    <col min="14580" max="14580" width="6.5546875" customWidth="1"/>
    <col min="14581" max="14581" width="16.88671875" customWidth="1"/>
    <col min="14582" max="14582" width="6.88671875" customWidth="1"/>
    <col min="14583" max="14583" width="14.44140625" customWidth="1"/>
    <col min="14584" max="14584" width="7.6640625" customWidth="1"/>
    <col min="14585" max="14585" width="14.88671875" customWidth="1"/>
    <col min="14586" max="14586" width="6.6640625" customWidth="1"/>
    <col min="14587" max="14587" width="14.88671875" bestFit="1" customWidth="1"/>
    <col min="14588" max="14588" width="8" customWidth="1"/>
    <col min="14589" max="14589" width="14.88671875" bestFit="1" customWidth="1"/>
    <col min="14590" max="14590" width="7.6640625" customWidth="1"/>
    <col min="14591" max="14591" width="14.44140625" bestFit="1" customWidth="1"/>
    <col min="14592" max="14592" width="7" customWidth="1"/>
    <col min="14593" max="14593" width="14.33203125" customWidth="1"/>
    <col min="14594" max="14594" width="7" customWidth="1"/>
    <col min="14595" max="14595" width="16.6640625" bestFit="1" customWidth="1"/>
    <col min="14596" max="14596" width="6.5546875" customWidth="1"/>
    <col min="14597" max="14597" width="15.88671875" customWidth="1"/>
    <col min="14598" max="14598" width="7" customWidth="1"/>
    <col min="14599" max="14599" width="14.33203125" customWidth="1"/>
    <col min="14600" max="14600" width="7.44140625" customWidth="1"/>
    <col min="14601" max="14601" width="17.109375" customWidth="1"/>
    <col min="14602" max="14602" width="7.33203125" customWidth="1"/>
    <col min="14603" max="14603" width="16.44140625" bestFit="1" customWidth="1"/>
    <col min="14833" max="14833" width="3" customWidth="1"/>
    <col min="14834" max="14834" width="46.6640625" customWidth="1"/>
    <col min="14835" max="14835" width="14.88671875" bestFit="1" customWidth="1"/>
    <col min="14836" max="14836" width="6.5546875" customWidth="1"/>
    <col min="14837" max="14837" width="16.88671875" customWidth="1"/>
    <col min="14838" max="14838" width="6.88671875" customWidth="1"/>
    <col min="14839" max="14839" width="14.44140625" customWidth="1"/>
    <col min="14840" max="14840" width="7.6640625" customWidth="1"/>
    <col min="14841" max="14841" width="14.88671875" customWidth="1"/>
    <col min="14842" max="14842" width="6.6640625" customWidth="1"/>
    <col min="14843" max="14843" width="14.88671875" bestFit="1" customWidth="1"/>
    <col min="14844" max="14844" width="8" customWidth="1"/>
    <col min="14845" max="14845" width="14.88671875" bestFit="1" customWidth="1"/>
    <col min="14846" max="14846" width="7.6640625" customWidth="1"/>
    <col min="14847" max="14847" width="14.44140625" bestFit="1" customWidth="1"/>
    <col min="14848" max="14848" width="7" customWidth="1"/>
    <col min="14849" max="14849" width="14.33203125" customWidth="1"/>
    <col min="14850" max="14850" width="7" customWidth="1"/>
    <col min="14851" max="14851" width="16.6640625" bestFit="1" customWidth="1"/>
    <col min="14852" max="14852" width="6.5546875" customWidth="1"/>
    <col min="14853" max="14853" width="15.88671875" customWidth="1"/>
    <col min="14854" max="14854" width="7" customWidth="1"/>
    <col min="14855" max="14855" width="14.33203125" customWidth="1"/>
    <col min="14856" max="14856" width="7.44140625" customWidth="1"/>
    <col min="14857" max="14857" width="17.109375" customWidth="1"/>
    <col min="14858" max="14858" width="7.33203125" customWidth="1"/>
    <col min="14859" max="14859" width="16.44140625" bestFit="1" customWidth="1"/>
    <col min="15089" max="15089" width="3" customWidth="1"/>
    <col min="15090" max="15090" width="46.6640625" customWidth="1"/>
    <col min="15091" max="15091" width="14.88671875" bestFit="1" customWidth="1"/>
    <col min="15092" max="15092" width="6.5546875" customWidth="1"/>
    <col min="15093" max="15093" width="16.88671875" customWidth="1"/>
    <col min="15094" max="15094" width="6.88671875" customWidth="1"/>
    <col min="15095" max="15095" width="14.44140625" customWidth="1"/>
    <col min="15096" max="15096" width="7.6640625" customWidth="1"/>
    <col min="15097" max="15097" width="14.88671875" customWidth="1"/>
    <col min="15098" max="15098" width="6.6640625" customWidth="1"/>
    <col min="15099" max="15099" width="14.88671875" bestFit="1" customWidth="1"/>
    <col min="15100" max="15100" width="8" customWidth="1"/>
    <col min="15101" max="15101" width="14.88671875" bestFit="1" customWidth="1"/>
    <col min="15102" max="15102" width="7.6640625" customWidth="1"/>
    <col min="15103" max="15103" width="14.44140625" bestFit="1" customWidth="1"/>
    <col min="15104" max="15104" width="7" customWidth="1"/>
    <col min="15105" max="15105" width="14.33203125" customWidth="1"/>
    <col min="15106" max="15106" width="7" customWidth="1"/>
    <col min="15107" max="15107" width="16.6640625" bestFit="1" customWidth="1"/>
    <col min="15108" max="15108" width="6.5546875" customWidth="1"/>
    <col min="15109" max="15109" width="15.88671875" customWidth="1"/>
    <col min="15110" max="15110" width="7" customWidth="1"/>
    <col min="15111" max="15111" width="14.33203125" customWidth="1"/>
    <col min="15112" max="15112" width="7.44140625" customWidth="1"/>
    <col min="15113" max="15113" width="17.109375" customWidth="1"/>
    <col min="15114" max="15114" width="7.33203125" customWidth="1"/>
    <col min="15115" max="15115" width="16.44140625" bestFit="1" customWidth="1"/>
    <col min="15345" max="15345" width="3" customWidth="1"/>
    <col min="15346" max="15346" width="46.6640625" customWidth="1"/>
    <col min="15347" max="15347" width="14.88671875" bestFit="1" customWidth="1"/>
    <col min="15348" max="15348" width="6.5546875" customWidth="1"/>
    <col min="15349" max="15349" width="16.88671875" customWidth="1"/>
    <col min="15350" max="15350" width="6.88671875" customWidth="1"/>
    <col min="15351" max="15351" width="14.44140625" customWidth="1"/>
    <col min="15352" max="15352" width="7.6640625" customWidth="1"/>
    <col min="15353" max="15353" width="14.88671875" customWidth="1"/>
    <col min="15354" max="15354" width="6.6640625" customWidth="1"/>
    <col min="15355" max="15355" width="14.88671875" bestFit="1" customWidth="1"/>
    <col min="15356" max="15356" width="8" customWidth="1"/>
    <col min="15357" max="15357" width="14.88671875" bestFit="1" customWidth="1"/>
    <col min="15358" max="15358" width="7.6640625" customWidth="1"/>
    <col min="15359" max="15359" width="14.44140625" bestFit="1" customWidth="1"/>
    <col min="15360" max="15360" width="7" customWidth="1"/>
    <col min="15361" max="15361" width="14.33203125" customWidth="1"/>
    <col min="15362" max="15362" width="7" customWidth="1"/>
    <col min="15363" max="15363" width="16.6640625" bestFit="1" customWidth="1"/>
    <col min="15364" max="15364" width="6.5546875" customWidth="1"/>
    <col min="15365" max="15365" width="15.88671875" customWidth="1"/>
    <col min="15366" max="15366" width="7" customWidth="1"/>
    <col min="15367" max="15367" width="14.33203125" customWidth="1"/>
    <col min="15368" max="15368" width="7.44140625" customWidth="1"/>
    <col min="15369" max="15369" width="17.109375" customWidth="1"/>
    <col min="15370" max="15370" width="7.33203125" customWidth="1"/>
    <col min="15371" max="15371" width="16.44140625" bestFit="1" customWidth="1"/>
    <col min="15601" max="15601" width="3" customWidth="1"/>
    <col min="15602" max="15602" width="46.6640625" customWidth="1"/>
    <col min="15603" max="15603" width="14.88671875" bestFit="1" customWidth="1"/>
    <col min="15604" max="15604" width="6.5546875" customWidth="1"/>
    <col min="15605" max="15605" width="16.88671875" customWidth="1"/>
    <col min="15606" max="15606" width="6.88671875" customWidth="1"/>
    <col min="15607" max="15607" width="14.44140625" customWidth="1"/>
    <col min="15608" max="15608" width="7.6640625" customWidth="1"/>
    <col min="15609" max="15609" width="14.88671875" customWidth="1"/>
    <col min="15610" max="15610" width="6.6640625" customWidth="1"/>
    <col min="15611" max="15611" width="14.88671875" bestFit="1" customWidth="1"/>
    <col min="15612" max="15612" width="8" customWidth="1"/>
    <col min="15613" max="15613" width="14.88671875" bestFit="1" customWidth="1"/>
    <col min="15614" max="15614" width="7.6640625" customWidth="1"/>
    <col min="15615" max="15615" width="14.44140625" bestFit="1" customWidth="1"/>
    <col min="15616" max="15616" width="7" customWidth="1"/>
    <col min="15617" max="15617" width="14.33203125" customWidth="1"/>
    <col min="15618" max="15618" width="7" customWidth="1"/>
    <col min="15619" max="15619" width="16.6640625" bestFit="1" customWidth="1"/>
    <col min="15620" max="15620" width="6.5546875" customWidth="1"/>
    <col min="15621" max="15621" width="15.88671875" customWidth="1"/>
    <col min="15622" max="15622" width="7" customWidth="1"/>
    <col min="15623" max="15623" width="14.33203125" customWidth="1"/>
    <col min="15624" max="15624" width="7.44140625" customWidth="1"/>
    <col min="15625" max="15625" width="17.109375" customWidth="1"/>
    <col min="15626" max="15626" width="7.33203125" customWidth="1"/>
    <col min="15627" max="15627" width="16.44140625" bestFit="1" customWidth="1"/>
    <col min="15857" max="15857" width="3" customWidth="1"/>
    <col min="15858" max="15858" width="46.6640625" customWidth="1"/>
    <col min="15859" max="15859" width="14.88671875" bestFit="1" customWidth="1"/>
    <col min="15860" max="15860" width="6.5546875" customWidth="1"/>
    <col min="15861" max="15861" width="16.88671875" customWidth="1"/>
    <col min="15862" max="15862" width="6.88671875" customWidth="1"/>
    <col min="15863" max="15863" width="14.44140625" customWidth="1"/>
    <col min="15864" max="15864" width="7.6640625" customWidth="1"/>
    <col min="15865" max="15865" width="14.88671875" customWidth="1"/>
    <col min="15866" max="15866" width="6.6640625" customWidth="1"/>
    <col min="15867" max="15867" width="14.88671875" bestFit="1" customWidth="1"/>
    <col min="15868" max="15868" width="8" customWidth="1"/>
    <col min="15869" max="15869" width="14.88671875" bestFit="1" customWidth="1"/>
    <col min="15870" max="15870" width="7.6640625" customWidth="1"/>
    <col min="15871" max="15871" width="14.44140625" bestFit="1" customWidth="1"/>
    <col min="15872" max="15872" width="7" customWidth="1"/>
    <col min="15873" max="15873" width="14.33203125" customWidth="1"/>
    <col min="15874" max="15874" width="7" customWidth="1"/>
    <col min="15875" max="15875" width="16.6640625" bestFit="1" customWidth="1"/>
    <col min="15876" max="15876" width="6.5546875" customWidth="1"/>
    <col min="15877" max="15877" width="15.88671875" customWidth="1"/>
    <col min="15878" max="15878" width="7" customWidth="1"/>
    <col min="15879" max="15879" width="14.33203125" customWidth="1"/>
    <col min="15880" max="15880" width="7.44140625" customWidth="1"/>
    <col min="15881" max="15881" width="17.109375" customWidth="1"/>
    <col min="15882" max="15882" width="7.33203125" customWidth="1"/>
    <col min="15883" max="15883" width="16.44140625" bestFit="1" customWidth="1"/>
    <col min="16113" max="16113" width="3" customWidth="1"/>
    <col min="16114" max="16114" width="46.6640625" customWidth="1"/>
    <col min="16115" max="16115" width="14.88671875" bestFit="1" customWidth="1"/>
    <col min="16116" max="16116" width="6.5546875" customWidth="1"/>
    <col min="16117" max="16117" width="16.88671875" customWidth="1"/>
    <col min="16118" max="16118" width="6.88671875" customWidth="1"/>
    <col min="16119" max="16119" width="14.44140625" customWidth="1"/>
    <col min="16120" max="16120" width="7.6640625" customWidth="1"/>
    <col min="16121" max="16121" width="14.88671875" customWidth="1"/>
    <col min="16122" max="16122" width="6.6640625" customWidth="1"/>
    <col min="16123" max="16123" width="14.88671875" bestFit="1" customWidth="1"/>
    <col min="16124" max="16124" width="8" customWidth="1"/>
    <col min="16125" max="16125" width="14.88671875" bestFit="1" customWidth="1"/>
    <col min="16126" max="16126" width="7.6640625" customWidth="1"/>
    <col min="16127" max="16127" width="14.44140625" bestFit="1" customWidth="1"/>
    <col min="16128" max="16128" width="7" customWidth="1"/>
    <col min="16129" max="16129" width="14.33203125" customWidth="1"/>
    <col min="16130" max="16130" width="7" customWidth="1"/>
    <col min="16131" max="16131" width="16.6640625" bestFit="1" customWidth="1"/>
    <col min="16132" max="16132" width="6.5546875" customWidth="1"/>
    <col min="16133" max="16133" width="15.88671875" customWidth="1"/>
    <col min="16134" max="16134" width="7" customWidth="1"/>
    <col min="16135" max="16135" width="14.33203125" customWidth="1"/>
    <col min="16136" max="16136" width="7.44140625" customWidth="1"/>
    <col min="16137" max="16137" width="17.109375" customWidth="1"/>
    <col min="16138" max="16138" width="7.33203125" customWidth="1"/>
    <col min="16139" max="16139" width="16.44140625" bestFit="1" customWidth="1"/>
  </cols>
  <sheetData>
    <row r="1" spans="2:11" ht="6.75" customHeight="1" x14ac:dyDescent="0.3"/>
    <row r="2" spans="2:11" ht="7.5" customHeight="1" x14ac:dyDescent="0.3">
      <c r="B2" s="238"/>
      <c r="C2" s="238"/>
      <c r="D2" s="238"/>
      <c r="E2" s="238"/>
      <c r="F2" s="238"/>
      <c r="G2" s="238"/>
      <c r="H2" s="238"/>
      <c r="I2" s="238"/>
      <c r="J2" s="238"/>
      <c r="K2" s="238"/>
    </row>
    <row r="3" spans="2:11" ht="15.75" customHeight="1" x14ac:dyDescent="0.3">
      <c r="B3" s="239" t="s">
        <v>45</v>
      </c>
      <c r="C3" s="239"/>
      <c r="D3" s="239"/>
      <c r="E3" s="239"/>
      <c r="F3" s="239"/>
      <c r="G3" s="239"/>
      <c r="H3" s="239"/>
      <c r="I3" s="239"/>
      <c r="J3" s="239"/>
      <c r="K3" s="239"/>
    </row>
    <row r="4" spans="2:11" ht="15.75" customHeight="1" x14ac:dyDescent="0.3">
      <c r="B4" s="240" t="s">
        <v>67</v>
      </c>
      <c r="C4" s="240"/>
      <c r="D4" s="240"/>
      <c r="E4" s="240"/>
      <c r="F4" s="240"/>
      <c r="G4" s="240"/>
      <c r="H4" s="240"/>
      <c r="I4" s="240"/>
      <c r="J4" s="240"/>
      <c r="K4" s="240"/>
    </row>
    <row r="5" spans="2:11" x14ac:dyDescent="0.3">
      <c r="B5" s="240" t="s">
        <v>68</v>
      </c>
      <c r="C5" s="240"/>
      <c r="D5" s="240"/>
      <c r="E5" s="240"/>
      <c r="F5" s="240"/>
      <c r="G5" s="240"/>
      <c r="H5" s="240"/>
      <c r="I5" s="240"/>
      <c r="J5" s="240"/>
      <c r="K5" s="240"/>
    </row>
    <row r="6" spans="2:11" ht="7.5" customHeight="1" x14ac:dyDescent="0.3">
      <c r="B6" s="239"/>
      <c r="C6" s="239"/>
      <c r="D6" s="239"/>
      <c r="E6" s="239"/>
      <c r="F6" s="239"/>
      <c r="G6" s="239"/>
      <c r="H6" s="239"/>
      <c r="I6" s="239"/>
      <c r="J6" s="239"/>
      <c r="K6" s="239"/>
    </row>
    <row r="7" spans="2:11" ht="6" customHeight="1" thickBot="1" x14ac:dyDescent="0.35"/>
    <row r="8" spans="2:11" ht="15" thickBot="1" x14ac:dyDescent="0.35">
      <c r="B8" s="12" t="s">
        <v>34</v>
      </c>
      <c r="C8" s="236" t="s">
        <v>46</v>
      </c>
      <c r="D8" s="237"/>
      <c r="E8" s="236" t="s">
        <v>47</v>
      </c>
      <c r="F8" s="237"/>
      <c r="G8" s="236" t="s">
        <v>48</v>
      </c>
      <c r="H8" s="237"/>
      <c r="I8" s="236" t="s">
        <v>49</v>
      </c>
      <c r="J8" s="237"/>
      <c r="K8" s="13" t="s">
        <v>50</v>
      </c>
    </row>
    <row r="9" spans="2:11" ht="6" customHeight="1" thickBot="1" x14ac:dyDescent="0.35">
      <c r="B9" s="14"/>
      <c r="G9" s="11"/>
      <c r="H9" s="11"/>
      <c r="K9" s="11"/>
    </row>
    <row r="10" spans="2:11" ht="15" thickTop="1" x14ac:dyDescent="0.3">
      <c r="B10" s="15" t="s">
        <v>35</v>
      </c>
      <c r="C10" s="16"/>
      <c r="D10" s="17"/>
      <c r="E10" s="16"/>
      <c r="F10" s="17"/>
      <c r="G10" s="16"/>
      <c r="H10" s="17"/>
      <c r="I10" s="16"/>
      <c r="J10" s="18"/>
      <c r="K10" s="19"/>
    </row>
    <row r="11" spans="2:11" x14ac:dyDescent="0.3">
      <c r="B11" s="20" t="s">
        <v>28</v>
      </c>
      <c r="C11" s="21">
        <v>0</v>
      </c>
      <c r="D11" s="22"/>
      <c r="E11" s="21">
        <v>0</v>
      </c>
      <c r="F11" s="22"/>
      <c r="G11" s="21">
        <v>0</v>
      </c>
      <c r="H11" s="22"/>
      <c r="I11" s="21">
        <v>0</v>
      </c>
      <c r="J11" s="23"/>
      <c r="K11" s="24">
        <f>C11+E11+G11+I11</f>
        <v>0</v>
      </c>
    </row>
    <row r="12" spans="2:11" x14ac:dyDescent="0.3">
      <c r="B12" s="20" t="s">
        <v>23</v>
      </c>
      <c r="C12" s="21">
        <v>0</v>
      </c>
      <c r="D12" s="22"/>
      <c r="E12" s="21">
        <v>0</v>
      </c>
      <c r="F12" s="22"/>
      <c r="G12" s="21">
        <v>0</v>
      </c>
      <c r="H12" s="22"/>
      <c r="I12" s="21">
        <v>0</v>
      </c>
      <c r="J12" s="23"/>
      <c r="K12" s="24">
        <f>C12+E12+G12+I12</f>
        <v>0</v>
      </c>
    </row>
    <row r="13" spans="2:11" x14ac:dyDescent="0.3">
      <c r="B13" s="25"/>
      <c r="C13" s="26"/>
      <c r="D13" s="27"/>
      <c r="E13" s="26"/>
      <c r="F13" s="27"/>
      <c r="G13" s="26"/>
      <c r="H13" s="27"/>
      <c r="I13" s="26"/>
      <c r="J13" s="28"/>
      <c r="K13" s="29"/>
    </row>
    <row r="14" spans="2:11" x14ac:dyDescent="0.3">
      <c r="B14" s="30" t="s">
        <v>36</v>
      </c>
      <c r="C14" s="31"/>
      <c r="D14" s="32"/>
      <c r="E14" s="31"/>
      <c r="F14" s="32"/>
      <c r="G14" s="31"/>
      <c r="H14" s="32"/>
      <c r="I14" s="31"/>
      <c r="J14" s="33"/>
      <c r="K14" s="34"/>
    </row>
    <row r="15" spans="2:11" x14ac:dyDescent="0.3">
      <c r="B15" s="35" t="s">
        <v>28</v>
      </c>
      <c r="C15" s="21">
        <v>0</v>
      </c>
      <c r="D15" s="36"/>
      <c r="E15" s="21">
        <v>0</v>
      </c>
      <c r="F15" s="36"/>
      <c r="G15" s="21">
        <v>0</v>
      </c>
      <c r="H15" s="36"/>
      <c r="I15" s="21">
        <v>0</v>
      </c>
      <c r="J15" s="37"/>
      <c r="K15" s="34">
        <f>C15+E15+G15+I15</f>
        <v>0</v>
      </c>
    </row>
    <row r="16" spans="2:11" x14ac:dyDescent="0.3">
      <c r="B16" s="35" t="s">
        <v>23</v>
      </c>
      <c r="C16" s="21">
        <v>0</v>
      </c>
      <c r="D16" s="36"/>
      <c r="E16" s="21">
        <v>0</v>
      </c>
      <c r="F16" s="36"/>
      <c r="G16" s="21">
        <v>0</v>
      </c>
      <c r="H16" s="36"/>
      <c r="I16" s="21">
        <v>0</v>
      </c>
      <c r="J16" s="37"/>
      <c r="K16" s="34">
        <f>C16+E16+G16+I16</f>
        <v>0</v>
      </c>
    </row>
    <row r="17" spans="2:11" x14ac:dyDescent="0.3">
      <c r="B17" s="25"/>
      <c r="C17" s="38"/>
      <c r="D17" s="39"/>
      <c r="E17" s="38"/>
      <c r="F17" s="39"/>
      <c r="G17" s="38"/>
      <c r="H17" s="39"/>
      <c r="I17" s="38"/>
      <c r="J17" s="40"/>
      <c r="K17" s="41"/>
    </row>
    <row r="18" spans="2:11" x14ac:dyDescent="0.3">
      <c r="B18" s="25"/>
      <c r="C18" s="38"/>
      <c r="D18" s="39"/>
      <c r="E18" s="38"/>
      <c r="F18" s="39"/>
      <c r="G18" s="38"/>
      <c r="H18" s="39"/>
      <c r="I18" s="38"/>
      <c r="J18" s="40"/>
      <c r="K18" s="41"/>
    </row>
    <row r="19" spans="2:11" x14ac:dyDescent="0.3">
      <c r="B19" s="30" t="s">
        <v>114</v>
      </c>
      <c r="C19" s="42"/>
      <c r="D19" s="43"/>
      <c r="E19" s="42"/>
      <c r="F19" s="43"/>
      <c r="G19" s="42"/>
      <c r="H19" s="43"/>
      <c r="I19" s="42"/>
      <c r="J19" s="44"/>
      <c r="K19" s="45"/>
    </row>
    <row r="20" spans="2:11" x14ac:dyDescent="0.3">
      <c r="B20" s="35" t="s">
        <v>28</v>
      </c>
      <c r="C20" s="21">
        <v>0</v>
      </c>
      <c r="D20" s="36"/>
      <c r="E20" s="21">
        <v>0</v>
      </c>
      <c r="F20" s="36"/>
      <c r="G20" s="21">
        <v>0</v>
      </c>
      <c r="H20" s="36"/>
      <c r="I20" s="21">
        <v>0</v>
      </c>
      <c r="J20" s="37"/>
      <c r="K20" s="34">
        <f>C20+E20+G20+I20</f>
        <v>0</v>
      </c>
    </row>
    <row r="21" spans="2:11" x14ac:dyDescent="0.3">
      <c r="B21" s="35" t="s">
        <v>23</v>
      </c>
      <c r="C21" s="21">
        <v>0</v>
      </c>
      <c r="D21" s="36"/>
      <c r="E21" s="21">
        <v>0</v>
      </c>
      <c r="F21" s="36"/>
      <c r="G21" s="21">
        <v>0</v>
      </c>
      <c r="H21" s="36"/>
      <c r="I21" s="21">
        <v>0</v>
      </c>
      <c r="J21" s="37"/>
      <c r="K21" s="34">
        <f>C21+E21+G21+I21</f>
        <v>0</v>
      </c>
    </row>
    <row r="22" spans="2:11" x14ac:dyDescent="0.3">
      <c r="B22" s="35"/>
      <c r="C22" s="46"/>
      <c r="D22" s="36"/>
      <c r="E22" s="46"/>
      <c r="F22" s="36"/>
      <c r="G22" s="46"/>
      <c r="H22" s="36"/>
      <c r="I22" s="46"/>
      <c r="J22" s="37"/>
      <c r="K22" s="47"/>
    </row>
    <row r="23" spans="2:11" x14ac:dyDescent="0.3">
      <c r="B23" s="30" t="s">
        <v>37</v>
      </c>
      <c r="C23" s="42"/>
      <c r="D23" s="43"/>
      <c r="E23" s="42"/>
      <c r="F23" s="43"/>
      <c r="G23" s="42"/>
      <c r="H23" s="43"/>
      <c r="I23" s="42"/>
      <c r="J23" s="44"/>
      <c r="K23" s="45"/>
    </row>
    <row r="24" spans="2:11" x14ac:dyDescent="0.3">
      <c r="B24" s="35" t="s">
        <v>28</v>
      </c>
      <c r="C24" s="21">
        <v>0</v>
      </c>
      <c r="D24" s="36"/>
      <c r="E24" s="21">
        <v>0</v>
      </c>
      <c r="F24" s="36"/>
      <c r="G24" s="21">
        <v>0</v>
      </c>
      <c r="H24" s="36"/>
      <c r="I24" s="21">
        <v>0</v>
      </c>
      <c r="J24" s="37"/>
      <c r="K24" s="34">
        <f>C24+E24+G24+I24</f>
        <v>0</v>
      </c>
    </row>
    <row r="25" spans="2:11" ht="15" thickBot="1" x14ac:dyDescent="0.35">
      <c r="B25" s="48" t="s">
        <v>23</v>
      </c>
      <c r="C25" s="49">
        <v>0</v>
      </c>
      <c r="D25" s="50"/>
      <c r="E25" s="49">
        <v>0</v>
      </c>
      <c r="F25" s="51"/>
      <c r="G25" s="49">
        <v>0</v>
      </c>
      <c r="H25" s="51"/>
      <c r="I25" s="49">
        <v>0</v>
      </c>
      <c r="J25" s="50"/>
      <c r="K25" s="52">
        <f>C25+E25+G25+I25</f>
        <v>0</v>
      </c>
    </row>
    <row r="26" spans="2:11" ht="15.6" thickTop="1" thickBot="1" x14ac:dyDescent="0.35">
      <c r="B26" s="53"/>
      <c r="C26" s="54"/>
      <c r="D26" s="54"/>
      <c r="E26" s="54"/>
      <c r="F26" s="54"/>
      <c r="G26" s="54"/>
      <c r="H26" s="54"/>
      <c r="I26" s="54"/>
      <c r="J26" s="54"/>
      <c r="K26" s="55"/>
    </row>
    <row r="27" spans="2:11" ht="15" thickBot="1" x14ac:dyDescent="0.35">
      <c r="B27" s="56" t="s">
        <v>38</v>
      </c>
      <c r="C27" s="236" t="s">
        <v>46</v>
      </c>
      <c r="D27" s="237"/>
      <c r="E27" s="236" t="s">
        <v>47</v>
      </c>
      <c r="F27" s="237"/>
      <c r="G27" s="236" t="s">
        <v>48</v>
      </c>
      <c r="H27" s="237"/>
      <c r="I27" s="236" t="s">
        <v>49</v>
      </c>
      <c r="J27" s="237"/>
      <c r="K27" s="57" t="s">
        <v>50</v>
      </c>
    </row>
    <row r="28" spans="2:11" x14ac:dyDescent="0.3">
      <c r="B28" s="58" t="s">
        <v>39</v>
      </c>
      <c r="C28" s="59">
        <f>C11-C15</f>
        <v>0</v>
      </c>
      <c r="D28" s="60"/>
      <c r="E28" s="59">
        <f>E11-E15</f>
        <v>0</v>
      </c>
      <c r="F28" s="60"/>
      <c r="G28" s="59">
        <f>G11-G15</f>
        <v>0</v>
      </c>
      <c r="H28" s="60"/>
      <c r="I28" s="59">
        <f>I11-I15</f>
        <v>0</v>
      </c>
      <c r="J28" s="60"/>
      <c r="K28" s="61">
        <f t="shared" ref="K28:K33" si="0">C28+E28+G28+I28</f>
        <v>0</v>
      </c>
    </row>
    <row r="29" spans="2:11" x14ac:dyDescent="0.3">
      <c r="B29" s="62" t="s">
        <v>40</v>
      </c>
      <c r="C29" s="63">
        <f>C12-C16</f>
        <v>0</v>
      </c>
      <c r="D29" s="64"/>
      <c r="E29" s="63">
        <f>E12-E16</f>
        <v>0</v>
      </c>
      <c r="F29" s="64"/>
      <c r="G29" s="63">
        <f>G12-G16</f>
        <v>0</v>
      </c>
      <c r="H29" s="64"/>
      <c r="I29" s="63">
        <f>I12-I16</f>
        <v>0</v>
      </c>
      <c r="J29" s="64"/>
      <c r="K29" s="65">
        <f t="shared" si="0"/>
        <v>0</v>
      </c>
    </row>
    <row r="30" spans="2:11" x14ac:dyDescent="0.3">
      <c r="B30" s="62" t="s">
        <v>41</v>
      </c>
      <c r="C30" s="63">
        <f>C15-C20</f>
        <v>0</v>
      </c>
      <c r="D30" s="64"/>
      <c r="E30" s="63">
        <f>E15-E20</f>
        <v>0</v>
      </c>
      <c r="F30" s="64"/>
      <c r="G30" s="63">
        <f>G15-G20</f>
        <v>0</v>
      </c>
      <c r="H30" s="64"/>
      <c r="I30" s="63">
        <f>I15-I20</f>
        <v>0</v>
      </c>
      <c r="J30" s="64"/>
      <c r="K30" s="65">
        <f t="shared" si="0"/>
        <v>0</v>
      </c>
    </row>
    <row r="31" spans="2:11" x14ac:dyDescent="0.3">
      <c r="B31" s="62" t="s">
        <v>42</v>
      </c>
      <c r="C31" s="63">
        <f>C16-C21</f>
        <v>0</v>
      </c>
      <c r="D31" s="64"/>
      <c r="E31" s="63">
        <f>E16-E21</f>
        <v>0</v>
      </c>
      <c r="F31" s="64"/>
      <c r="G31" s="63">
        <f>G16-G21</f>
        <v>0</v>
      </c>
      <c r="H31" s="64"/>
      <c r="I31" s="63">
        <f>I16-I21</f>
        <v>0</v>
      </c>
      <c r="J31" s="64"/>
      <c r="K31" s="65">
        <f t="shared" si="0"/>
        <v>0</v>
      </c>
    </row>
    <row r="32" spans="2:11" x14ac:dyDescent="0.3">
      <c r="B32" s="62" t="s">
        <v>43</v>
      </c>
      <c r="C32" s="63">
        <f>C20-C24</f>
        <v>0</v>
      </c>
      <c r="D32" s="64"/>
      <c r="E32" s="63">
        <f>E20-E24</f>
        <v>0</v>
      </c>
      <c r="F32" s="64"/>
      <c r="G32" s="63">
        <f>G20-G24</f>
        <v>0</v>
      </c>
      <c r="H32" s="64"/>
      <c r="I32" s="63">
        <f>I20-I24</f>
        <v>0</v>
      </c>
      <c r="J32" s="64"/>
      <c r="K32" s="65">
        <f t="shared" si="0"/>
        <v>0</v>
      </c>
    </row>
    <row r="33" spans="2:11" ht="15" thickBot="1" x14ac:dyDescent="0.35">
      <c r="B33" s="66" t="s">
        <v>44</v>
      </c>
      <c r="C33" s="67">
        <f>C21-C25</f>
        <v>0</v>
      </c>
      <c r="D33" s="68"/>
      <c r="E33" s="67">
        <f>E21-E25</f>
        <v>0</v>
      </c>
      <c r="F33" s="68"/>
      <c r="G33" s="67">
        <f>G21-G25</f>
        <v>0</v>
      </c>
      <c r="H33" s="68"/>
      <c r="I33" s="67">
        <f>I21-I25</f>
        <v>0</v>
      </c>
      <c r="J33" s="68"/>
      <c r="K33" s="69">
        <f t="shared" si="0"/>
        <v>0</v>
      </c>
    </row>
    <row r="34" spans="2:11" ht="15" thickBot="1" x14ac:dyDescent="0.35">
      <c r="B34" s="53"/>
      <c r="C34" s="53"/>
      <c r="D34" s="53"/>
      <c r="E34" s="53"/>
      <c r="F34" s="53"/>
      <c r="G34" s="11"/>
      <c r="H34" s="11"/>
      <c r="I34" s="53"/>
      <c r="J34" s="53"/>
    </row>
    <row r="35" spans="2:11" x14ac:dyDescent="0.3">
      <c r="B35" s="81" t="s">
        <v>51</v>
      </c>
      <c r="C35" s="76"/>
      <c r="D35" s="76"/>
      <c r="E35" s="76"/>
      <c r="F35" s="76"/>
      <c r="G35" s="76"/>
      <c r="H35" s="76"/>
      <c r="I35" s="76"/>
      <c r="J35" s="76"/>
      <c r="K35" s="77"/>
    </row>
    <row r="36" spans="2:11" x14ac:dyDescent="0.3">
      <c r="B36" s="78"/>
      <c r="C36" s="79"/>
      <c r="D36" s="79"/>
      <c r="E36" s="79"/>
      <c r="F36" s="79"/>
      <c r="G36" s="79"/>
      <c r="H36" s="79"/>
      <c r="I36" s="79"/>
      <c r="J36" s="79"/>
      <c r="K36" s="80"/>
    </row>
    <row r="37" spans="2:11" ht="15" thickBot="1" x14ac:dyDescent="0.35">
      <c r="B37" s="73"/>
      <c r="C37" s="74"/>
      <c r="D37" s="74"/>
      <c r="E37" s="74"/>
      <c r="F37" s="74"/>
      <c r="G37" s="74"/>
      <c r="H37" s="74"/>
      <c r="I37" s="74"/>
      <c r="J37" s="74"/>
      <c r="K37" s="75"/>
    </row>
    <row r="38" spans="2:11" x14ac:dyDescent="0.3">
      <c r="B38" s="53"/>
      <c r="C38" s="53"/>
      <c r="D38" s="53"/>
      <c r="E38" s="53"/>
      <c r="F38" s="53"/>
      <c r="G38" s="11"/>
      <c r="H38" s="70"/>
      <c r="I38" s="53"/>
      <c r="J38" s="53"/>
    </row>
  </sheetData>
  <mergeCells count="13">
    <mergeCell ref="C27:D27"/>
    <mergeCell ref="E27:F27"/>
    <mergeCell ref="G27:H27"/>
    <mergeCell ref="I27:J27"/>
    <mergeCell ref="B2:K2"/>
    <mergeCell ref="B3:K3"/>
    <mergeCell ref="B4:K4"/>
    <mergeCell ref="B5:K5"/>
    <mergeCell ref="B6:K6"/>
    <mergeCell ref="C8:D8"/>
    <mergeCell ref="E8:F8"/>
    <mergeCell ref="G8:H8"/>
    <mergeCell ref="I8:J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Acomp.Resultado_2026</vt:lpstr>
      <vt:lpstr>Confrontos Federais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Taiza Carolina Ferreira</dc:creator>
  <cp:lastModifiedBy>Taiza Carolina Ferreira</cp:lastModifiedBy>
  <cp:lastPrinted>2026-01-26T18:24:07Z</cp:lastPrinted>
  <dcterms:created xsi:type="dcterms:W3CDTF">2026-01-26T12:04:40Z</dcterms:created>
  <dcterms:modified xsi:type="dcterms:W3CDTF">2026-04-06T17:16:49Z</dcterms:modified>
</cp:coreProperties>
</file>