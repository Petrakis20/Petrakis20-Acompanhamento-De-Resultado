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40" yWindow="-100" windowWidth="38400" windowHeight="19000" tabRatio="600" firstSheet="0" activeTab="1" autoFilterDateGrouping="1"/>
  </bookViews>
  <sheets>
    <sheet name="Adições e Exclusões" sheetId="1" state="visible" r:id="rId1"/>
    <sheet name="Acomp. Resultados_2026" sheetId="2" state="visible" r:id="rId2"/>
    <sheet name="Confrontos Federai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-&quot;R$&quot;\ * #,##0.00_-;\-&quot;R$&quot;\ * #,##0.00_-;_-&quot;R$&quot;\ * &quot;-&quot;??_-;_-@_-"/>
    <numFmt numFmtId="165" formatCode="_(&quot;R$&quot;* #,##0.00_);_(&quot;R$&quot;* \(#,##0.00\);_(&quot;R$&quot;* &quot;-&quot;??_);_(@_)"/>
    <numFmt numFmtId="166" formatCode="_-&quot;R$&quot;* #,##0.00_-;\-&quot;R$&quot;* #,##0.00_-;_-&quot;R$&quot;* &quot;-&quot;??_-;_-@_-"/>
    <numFmt numFmtId="167" formatCode="#,##0.00_ ;\-#,##0.00\ "/>
    <numFmt numFmtId="168" formatCode="&quot;R$&quot;\ #,##0.00;[Red]\-&quot;R$&quot;\ #,##0.00"/>
    <numFmt numFmtId="169" formatCode="_-* #,##0.00_-;\-* #,##0.00_-;_-* &quot;-&quot;??_-;_-@_-"/>
    <numFmt numFmtId="170" formatCode="#,##0.00_ ;[Red]\-#,##0.00\ 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rgb="FF002060"/>
      <sz val="12"/>
      <scheme val="minor"/>
    </font>
    <font>
      <name val="Calibri"/>
      <family val="2"/>
      <b val="1"/>
      <color theme="0"/>
      <sz val="12"/>
      <u val="single"/>
      <scheme val="minor"/>
    </font>
    <font>
      <name val="Calibri"/>
      <family val="2"/>
      <color rgb="FF000000"/>
      <sz val="12"/>
    </font>
    <font>
      <name val="Calibri"/>
      <family val="2"/>
      <b val="1"/>
      <color theme="0"/>
      <sz val="16"/>
    </font>
    <font>
      <name val="Calibri"/>
      <family val="2"/>
      <b val="1"/>
      <color theme="0"/>
      <sz val="14"/>
    </font>
    <font>
      <name val="Calibri"/>
      <family val="2"/>
      <b val="1"/>
      <color indexed="8"/>
      <sz val="12"/>
    </font>
    <font>
      <name val="Calibri"/>
      <family val="2"/>
      <b val="1"/>
      <color indexed="9"/>
      <sz val="11"/>
    </font>
    <font>
      <name val="Calibri"/>
      <family val="2"/>
      <color indexed="8"/>
      <sz val="11"/>
    </font>
    <font>
      <name val="Calibri"/>
      <family val="2"/>
      <color indexed="62"/>
      <sz val="8"/>
    </font>
    <font>
      <name val="Calibri"/>
      <family val="2"/>
      <i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i val="1"/>
      <color indexed="62"/>
      <sz val="11"/>
    </font>
    <font>
      <name val="Calibri"/>
      <family val="2"/>
      <i val="1"/>
      <color indexed="10"/>
      <sz val="9"/>
    </font>
    <font>
      <name val="Calibri"/>
      <family val="2"/>
      <i val="1"/>
      <color indexed="10"/>
      <sz val="11"/>
    </font>
    <font>
      <name val="Calibri"/>
      <family val="2"/>
      <b val="1"/>
      <color theme="0" tint="-0.0499893185216834"/>
      <sz val="14"/>
      <scheme val="minor"/>
    </font>
    <font>
      <name val="Calibri"/>
      <family val="2"/>
      <b val="1"/>
      <color theme="0" tint="-0.0499893185216834"/>
      <sz val="11"/>
      <scheme val="minor"/>
    </font>
    <font>
      <name val="Calibri"/>
      <family val="2"/>
      <b val="1"/>
      <color theme="0" tint="-0.0499893185216834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indexed="56"/>
      <sz val="10"/>
    </font>
    <font>
      <name val="Calibri"/>
      <family val="2"/>
      <b val="1"/>
      <color indexed="9"/>
      <sz val="10"/>
      <u val="single"/>
    </font>
    <font>
      <name val="Calibri"/>
      <family val="2"/>
      <b val="1"/>
      <color theme="0"/>
      <sz val="11"/>
      <scheme val="minor"/>
    </font>
    <font>
      <name val="Arial"/>
      <family val="2"/>
      <sz val="8"/>
    </font>
    <font>
      <name val="Calibri"/>
      <family val="2"/>
      <sz val="12"/>
      <scheme val="minor"/>
    </font>
    <font>
      <name val="Calibri"/>
      <family val="2"/>
      <b val="1"/>
      <color theme="0"/>
      <sz val="14"/>
      <u val="single"/>
      <scheme val="minor"/>
    </font>
    <font>
      <name val="Calibri"/>
      <family val="2"/>
      <sz val="8"/>
      <scheme val="minor"/>
    </font>
    <font>
      <name val="Calibri"/>
      <family val="2"/>
      <color indexed="56"/>
      <sz val="11"/>
    </font>
    <font>
      <name val="Calibri"/>
      <family val="2"/>
      <b val="1"/>
      <sz val="12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  <u val="single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rgb="FF00206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indexed="56"/>
      <sz val="11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/>
        <bgColor indexed="64"/>
      </patternFill>
    </fill>
  </fills>
  <borders count="61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ashed">
        <color indexed="54"/>
      </left>
      <right style="dashed">
        <color indexed="64"/>
      </right>
      <top style="dashed">
        <color indexed="54"/>
      </top>
      <bottom style="dashed">
        <color indexed="54"/>
      </bottom>
      <diagonal/>
    </border>
    <border>
      <left style="dashed">
        <color indexed="54"/>
      </left>
      <right style="dashed">
        <color indexed="54"/>
      </right>
      <top style="dashed">
        <color indexed="54"/>
      </top>
      <bottom style="dashed">
        <color indexed="54"/>
      </bottom>
      <diagonal/>
    </border>
    <border>
      <left/>
      <right style="dashed">
        <color indexed="54"/>
      </right>
      <top style="dashed">
        <color indexed="54"/>
      </top>
      <bottom style="dashed">
        <color indexed="5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56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ashed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double">
        <color theme="4" tint="0.599993896298104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/>
      <bottom style="double">
        <color theme="4" tint="0.5999938962981048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dashed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double">
        <color theme="4" tint="0.5999938962981048"/>
      </top>
      <bottom/>
      <diagonal/>
    </border>
    <border>
      <left/>
      <right style="hair">
        <color indexed="64"/>
      </right>
      <top style="double">
        <color theme="4" tint="0.5999938962981048"/>
      </top>
      <bottom/>
      <diagonal/>
    </border>
    <border>
      <left style="hair">
        <color indexed="64"/>
      </left>
      <right/>
      <top/>
      <bottom style="thin">
        <color theme="3"/>
      </bottom>
      <diagonal/>
    </border>
    <border>
      <left/>
      <right style="hair">
        <color indexed="64"/>
      </right>
      <top/>
      <bottom style="thin">
        <color theme="3"/>
      </bottom>
      <diagonal/>
    </border>
    <border>
      <left style="hair">
        <color indexed="64"/>
      </left>
      <right/>
      <top/>
      <bottom style="double">
        <color theme="4" tint="0.5999938962981048"/>
      </bottom>
      <diagonal/>
    </border>
    <border>
      <left/>
      <right style="hair">
        <color indexed="64"/>
      </right>
      <top/>
      <bottom style="double">
        <color theme="4" tint="0.5999938962981048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56"/>
      </left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9">
    <xf numFmtId="0" fontId="1" fillId="0" borderId="0"/>
    <xf numFmtId="44" fontId="1" fillId="0" borderId="0"/>
    <xf numFmtId="9" fontId="1" fillId="0" borderId="0"/>
    <xf numFmtId="0" fontId="14" fillId="0" borderId="0"/>
    <xf numFmtId="44" fontId="19" fillId="0" borderId="0"/>
    <xf numFmtId="0" fontId="1" fillId="0" borderId="0"/>
    <xf numFmtId="0" fontId="34" fillId="0" borderId="0"/>
    <xf numFmtId="43" fontId="1" fillId="0" borderId="0"/>
    <xf numFmtId="0" fontId="44" fillId="0" borderId="0"/>
  </cellStyleXfs>
  <cellXfs count="374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pivotButton="0" quotePrefix="0" xfId="0"/>
    <xf numFmtId="164" fontId="0" fillId="0" borderId="0" pivotButton="0" quotePrefix="0" xfId="0"/>
    <xf numFmtId="164" fontId="0" fillId="0" borderId="0" pivotButton="0" quotePrefix="0" xfId="1"/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165" fontId="0" fillId="0" borderId="0" pivotButton="0" quotePrefix="0" xfId="0"/>
    <xf numFmtId="0" fontId="7" fillId="0" borderId="0" pivotButton="0" quotePrefix="0" xfId="0"/>
    <xf numFmtId="0" fontId="9" fillId="2" borderId="0" applyAlignment="1" pivotButton="0" quotePrefix="0" xfId="0">
      <alignment horizontal="center"/>
    </xf>
    <xf numFmtId="0" fontId="7" fillId="2" borderId="0" pivotButton="0" quotePrefix="0" xfId="0"/>
    <xf numFmtId="164" fontId="7" fillId="0" borderId="0" pivotButton="0" quotePrefix="0" xfId="1"/>
    <xf numFmtId="164" fontId="7" fillId="0" borderId="0" pivotButton="0" quotePrefix="0" xfId="0"/>
    <xf numFmtId="164" fontId="5" fillId="0" borderId="0" pivotButton="0" quotePrefix="0" xfId="1"/>
    <xf numFmtId="164" fontId="7" fillId="0" borderId="0" pivotButton="0" quotePrefix="0" xfId="1"/>
    <xf numFmtId="0" fontId="5" fillId="0" borderId="0" pivotButton="0" quotePrefix="0" xfId="0"/>
    <xf numFmtId="40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0" fontId="17" fillId="0" borderId="2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10" borderId="5" applyAlignment="1" pivotButton="0" quotePrefix="0" xfId="0">
      <alignment horizontal="center" vertical="center"/>
    </xf>
    <xf numFmtId="0" fontId="18" fillId="1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4" pivotButton="0" quotePrefix="0" xfId="0"/>
    <xf numFmtId="0" fontId="21" fillId="0" borderId="14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164" fontId="19" fillId="0" borderId="0" pivotButton="0" quotePrefix="0" xfId="4"/>
    <xf numFmtId="4" fontId="21" fillId="0" borderId="0" applyAlignment="1" pivotButton="0" quotePrefix="0" xfId="0">
      <alignment horizontal="right"/>
    </xf>
    <xf numFmtId="165" fontId="21" fillId="0" borderId="0" applyAlignment="1" pivotButton="0" quotePrefix="0" xfId="0">
      <alignment horizontal="right"/>
    </xf>
    <xf numFmtId="164" fontId="30" fillId="9" borderId="9" applyAlignment="1" pivotButton="0" quotePrefix="0" xfId="0">
      <alignment horizontal="right"/>
    </xf>
    <xf numFmtId="0" fontId="31" fillId="9" borderId="14" applyAlignment="1" pivotButton="0" quotePrefix="0" xfId="0">
      <alignment horizontal="right"/>
    </xf>
    <xf numFmtId="164" fontId="30" fillId="0" borderId="14" applyAlignment="1" pivotButton="0" quotePrefix="0" xfId="0">
      <alignment horizontal="right"/>
    </xf>
    <xf numFmtId="0" fontId="31" fillId="0" borderId="14" applyAlignment="1" pivotButton="0" quotePrefix="0" xfId="0">
      <alignment horizontal="right"/>
    </xf>
    <xf numFmtId="0" fontId="31" fillId="0" borderId="19" applyAlignment="1" pivotButton="0" quotePrefix="0" xfId="0">
      <alignment horizontal="right"/>
    </xf>
    <xf numFmtId="164" fontId="20" fillId="0" borderId="10" applyAlignment="1" pivotButton="0" quotePrefix="0" xfId="4">
      <alignment horizontal="center" vertical="center"/>
    </xf>
    <xf numFmtId="164" fontId="19" fillId="0" borderId="11" applyAlignment="1" pivotButton="0" quotePrefix="0" xfId="4">
      <alignment horizontal="right"/>
    </xf>
    <xf numFmtId="164" fontId="19" fillId="0" borderId="12" applyAlignment="1" pivotButton="0" quotePrefix="0" xfId="4">
      <alignment horizontal="right"/>
    </xf>
    <xf numFmtId="164" fontId="19" fillId="0" borderId="13" applyAlignment="1" pivotButton="0" quotePrefix="0" xfId="4">
      <alignment horizontal="right"/>
    </xf>
    <xf numFmtId="0" fontId="31" fillId="0" borderId="0" applyAlignment="1" pivotButton="0" quotePrefix="0" xfId="0">
      <alignment horizontal="right"/>
    </xf>
    <xf numFmtId="164" fontId="21" fillId="0" borderId="0" applyAlignment="1" pivotButton="0" quotePrefix="0" xfId="4">
      <alignment horizontal="right"/>
    </xf>
    <xf numFmtId="164" fontId="19" fillId="0" borderId="0" applyAlignment="1" pivotButton="0" quotePrefix="0" xfId="4">
      <alignment horizontal="right"/>
    </xf>
    <xf numFmtId="0" fontId="32" fillId="10" borderId="5" applyAlignment="1" pivotButton="0" quotePrefix="0" xfId="0">
      <alignment horizontal="right" vertical="center"/>
    </xf>
    <xf numFmtId="0" fontId="31" fillId="0" borderId="24" applyAlignment="1" pivotButton="0" quotePrefix="0" xfId="0">
      <alignment horizontal="right"/>
    </xf>
    <xf numFmtId="0" fontId="31" fillId="0" borderId="27" applyAlignment="1" pivotButton="0" quotePrefix="0" xfId="0">
      <alignment horizontal="right"/>
    </xf>
    <xf numFmtId="0" fontId="31" fillId="0" borderId="29" applyAlignment="1" pivotButton="0" quotePrefix="0" xfId="0">
      <alignment horizontal="right"/>
    </xf>
    <xf numFmtId="0" fontId="6" fillId="0" borderId="0" pivotButton="0" quotePrefix="0" xfId="0"/>
    <xf numFmtId="0" fontId="9" fillId="0" borderId="0" pivotButton="0" quotePrefix="0" xfId="0"/>
    <xf numFmtId="0" fontId="9" fillId="2" borderId="0" pivotButton="0" quotePrefix="0" xfId="0"/>
    <xf numFmtId="168" fontId="12" fillId="0" borderId="0" pivotButton="0" quotePrefix="0" xfId="1"/>
    <xf numFmtId="0" fontId="33" fillId="5" borderId="0" applyAlignment="1" pivotButton="0" quotePrefix="0" xfId="0">
      <alignment horizontal="center"/>
    </xf>
    <xf numFmtId="0" fontId="33" fillId="5" borderId="1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164" fontId="2" fillId="0" borderId="0" pivotButton="0" quotePrefix="0" xfId="1"/>
    <xf numFmtId="0" fontId="0" fillId="2" borderId="0" applyAlignment="1" pivotButton="0" quotePrefix="0" xfId="0">
      <alignment horizontal="right"/>
    </xf>
    <xf numFmtId="164" fontId="0" fillId="2" borderId="0" pivotButton="0" quotePrefix="0" xfId="1"/>
    <xf numFmtId="0" fontId="3" fillId="2" borderId="0" pivotButton="0" quotePrefix="0" xfId="0"/>
    <xf numFmtId="164" fontId="2" fillId="6" borderId="0" pivotButton="0" quotePrefix="0" xfId="1"/>
    <xf numFmtId="0" fontId="0" fillId="0" borderId="37" pivotButton="0" quotePrefix="0" xfId="0"/>
    <xf numFmtId="0" fontId="0" fillId="8" borderId="0" applyAlignment="1" pivotButton="0" quotePrefix="0" xfId="0">
      <alignment horizontal="center"/>
    </xf>
    <xf numFmtId="0" fontId="15" fillId="8" borderId="0" applyAlignment="1" pivotButton="0" quotePrefix="0" xfId="3">
      <alignment horizontal="center" vertical="center"/>
    </xf>
    <xf numFmtId="0" fontId="16" fillId="8" borderId="0" applyAlignment="1" pivotButton="0" quotePrefix="0" xfId="3">
      <alignment horizontal="center"/>
    </xf>
    <xf numFmtId="168" fontId="13" fillId="0" borderId="0" pivotButton="0" quotePrefix="0" xfId="1"/>
    <xf numFmtId="164" fontId="39" fillId="0" borderId="0" pivotButton="0" quotePrefix="0" xfId="1"/>
    <xf numFmtId="0" fontId="35" fillId="0" borderId="0" pivotButton="0" quotePrefix="0" xfId="0"/>
    <xf numFmtId="168" fontId="39" fillId="0" borderId="0" pivotButton="0" quotePrefix="0" xfId="1"/>
    <xf numFmtId="169" fontId="40" fillId="13" borderId="0" pivotButton="0" quotePrefix="0" xfId="7"/>
    <xf numFmtId="169" fontId="0" fillId="2" borderId="0" pivotButton="0" quotePrefix="0" xfId="4"/>
    <xf numFmtId="169" fontId="0" fillId="0" borderId="0" pivotButton="0" quotePrefix="0" xfId="1"/>
    <xf numFmtId="169" fontId="6" fillId="0" borderId="0" pivotButton="0" quotePrefix="0" xfId="1"/>
    <xf numFmtId="169" fontId="0" fillId="0" borderId="0" pivotButton="0" quotePrefix="0" xfId="0"/>
    <xf numFmtId="169" fontId="6" fillId="0" borderId="0" pivotButton="0" quotePrefix="0" xfId="1"/>
    <xf numFmtId="0" fontId="3" fillId="0" borderId="0" pivotButton="0" quotePrefix="0" xfId="0"/>
    <xf numFmtId="170" fontId="0" fillId="0" borderId="0" pivotButton="0" quotePrefix="0" xfId="0"/>
    <xf numFmtId="168" fontId="0" fillId="0" borderId="0" pivotButton="0" quotePrefix="0" xfId="1"/>
    <xf numFmtId="169" fontId="0" fillId="0" borderId="0" pivotButton="0" quotePrefix="0" xfId="1"/>
    <xf numFmtId="166" fontId="4" fillId="0" borderId="0" pivotButton="0" quotePrefix="0" xfId="0"/>
    <xf numFmtId="168" fontId="43" fillId="0" borderId="0" pivotButton="0" quotePrefix="0" xfId="1"/>
    <xf numFmtId="0" fontId="41" fillId="5" borderId="0" applyAlignment="1" pivotButton="0" quotePrefix="0" xfId="8">
      <alignment horizontal="center" vertical="center"/>
    </xf>
    <xf numFmtId="169" fontId="0" fillId="6" borderId="36" pivotButton="0" quotePrefix="0" xfId="7"/>
    <xf numFmtId="169" fontId="0" fillId="2" borderId="0" pivotButton="0" quotePrefix="0" xfId="7"/>
    <xf numFmtId="169" fontId="0" fillId="6" borderId="0" pivotButton="0" quotePrefix="0" xfId="7"/>
    <xf numFmtId="169" fontId="0" fillId="4" borderId="38" pivotButton="0" quotePrefix="0" xfId="7"/>
    <xf numFmtId="169" fontId="33" fillId="7" borderId="39" pivotButton="0" quotePrefix="0" xfId="7"/>
    <xf numFmtId="170" fontId="3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17" fillId="0" borderId="40" applyAlignment="1" pivotButton="0" quotePrefix="0" xfId="0">
      <alignment horizontal="center" vertical="center"/>
    </xf>
    <xf numFmtId="9" fontId="6" fillId="2" borderId="0" pivotButton="0" quotePrefix="0" xfId="2"/>
    <xf numFmtId="9" fontId="2" fillId="13" borderId="0" pivotButton="0" quotePrefix="0" xfId="2"/>
    <xf numFmtId="169" fontId="2" fillId="0" borderId="0" pivotButton="0" quotePrefix="0" xfId="1"/>
    <xf numFmtId="169" fontId="22" fillId="0" borderId="15" applyAlignment="1" pivotButton="0" quotePrefix="0" xfId="4">
      <alignment horizontal="right"/>
    </xf>
    <xf numFmtId="169" fontId="19" fillId="0" borderId="16" applyAlignment="1" pivotButton="0" quotePrefix="0" xfId="4">
      <alignment horizontal="right"/>
    </xf>
    <xf numFmtId="169" fontId="19" fillId="0" borderId="17" applyAlignment="1" pivotButton="0" quotePrefix="0" xfId="4">
      <alignment horizontal="right"/>
    </xf>
    <xf numFmtId="169" fontId="19" fillId="0" borderId="18" applyAlignment="1" pivotButton="0" quotePrefix="0" xfId="4">
      <alignment horizontal="right"/>
    </xf>
    <xf numFmtId="169" fontId="19" fillId="0" borderId="15" pivotButton="0" quotePrefix="0" xfId="4"/>
    <xf numFmtId="169" fontId="19" fillId="0" borderId="16" pivotButton="0" quotePrefix="0" xfId="4"/>
    <xf numFmtId="169" fontId="19" fillId="0" borderId="17" pivotButton="0" quotePrefix="0" xfId="4"/>
    <xf numFmtId="169" fontId="19" fillId="0" borderId="18" pivotButton="0" quotePrefix="0" xfId="4"/>
    <xf numFmtId="169" fontId="20" fillId="0" borderId="15" applyAlignment="1" pivotButton="0" quotePrefix="0" xfId="4">
      <alignment horizontal="center"/>
    </xf>
    <xf numFmtId="169" fontId="21" fillId="0" borderId="16" applyAlignment="1" pivotButton="0" quotePrefix="0" xfId="4">
      <alignment horizontal="right"/>
    </xf>
    <xf numFmtId="169" fontId="21" fillId="0" borderId="17" applyAlignment="1" pivotButton="0" quotePrefix="0" xfId="4">
      <alignment horizontal="right"/>
    </xf>
    <xf numFmtId="169" fontId="23" fillId="0" borderId="15" pivotButton="0" quotePrefix="0" xfId="4"/>
    <xf numFmtId="169" fontId="24" fillId="0" borderId="15" pivotButton="0" quotePrefix="0" xfId="4"/>
    <xf numFmtId="169" fontId="24" fillId="0" borderId="16" pivotButton="0" quotePrefix="0" xfId="4"/>
    <xf numFmtId="169" fontId="24" fillId="0" borderId="17" pivotButton="0" quotePrefix="0" xfId="4"/>
    <xf numFmtId="169" fontId="24" fillId="0" borderId="18" pivotButton="0" quotePrefix="0" xfId="4"/>
    <xf numFmtId="169" fontId="21" fillId="0" borderId="15" applyAlignment="1" pivotButton="0" quotePrefix="0" xfId="4">
      <alignment horizontal="right"/>
    </xf>
    <xf numFmtId="169" fontId="26" fillId="0" borderId="15" applyAlignment="1" pivotButton="0" quotePrefix="0" xfId="4">
      <alignment horizontal="right"/>
    </xf>
    <xf numFmtId="169" fontId="21" fillId="0" borderId="18" applyAlignment="1" pivotButton="0" quotePrefix="0" xfId="4">
      <alignment horizontal="right"/>
    </xf>
    <xf numFmtId="169" fontId="21" fillId="0" borderId="20" applyAlignment="1" pivotButton="0" quotePrefix="0" xfId="4">
      <alignment horizontal="right"/>
    </xf>
    <xf numFmtId="169" fontId="21" fillId="0" borderId="21" applyAlignment="1" pivotButton="0" quotePrefix="0" xfId="4">
      <alignment horizontal="right"/>
    </xf>
    <xf numFmtId="169" fontId="21" fillId="0" borderId="22" applyAlignment="1" pivotButton="0" quotePrefix="0" xfId="4">
      <alignment horizontal="right"/>
    </xf>
    <xf numFmtId="169" fontId="19" fillId="0" borderId="23" applyAlignment="1" pivotButton="0" quotePrefix="0" xfId="4">
      <alignment horizontal="right"/>
    </xf>
    <xf numFmtId="169" fontId="21" fillId="0" borderId="32" applyAlignment="1" pivotButton="0" quotePrefix="0" xfId="4">
      <alignment horizontal="right"/>
    </xf>
    <xf numFmtId="169" fontId="21" fillId="0" borderId="33" applyAlignment="1" pivotButton="0" quotePrefix="0" xfId="4">
      <alignment horizontal="right"/>
    </xf>
    <xf numFmtId="169" fontId="19" fillId="0" borderId="26" applyAlignment="1" pivotButton="0" quotePrefix="0" xfId="4">
      <alignment horizontal="right"/>
    </xf>
    <xf numFmtId="169" fontId="21" fillId="0" borderId="14" applyAlignment="1" pivotButton="0" quotePrefix="0" xfId="4">
      <alignment horizontal="right"/>
    </xf>
    <xf numFmtId="169" fontId="19" fillId="0" borderId="28" applyAlignment="1" pivotButton="0" quotePrefix="0" xfId="4">
      <alignment horizontal="right"/>
    </xf>
    <xf numFmtId="169" fontId="38" fillId="0" borderId="14" applyAlignment="1" pivotButton="0" quotePrefix="0" xfId="4">
      <alignment horizontal="right"/>
    </xf>
    <xf numFmtId="169" fontId="21" fillId="0" borderId="34" applyAlignment="1" pivotButton="0" quotePrefix="0" xfId="4">
      <alignment horizontal="right"/>
    </xf>
    <xf numFmtId="169" fontId="21" fillId="0" borderId="35" applyAlignment="1" pivotButton="0" quotePrefix="0" xfId="4">
      <alignment horizontal="right"/>
    </xf>
    <xf numFmtId="169" fontId="19" fillId="0" borderId="31" applyAlignment="1" pivotButton="0" quotePrefix="0" xfId="4">
      <alignment horizontal="right"/>
    </xf>
    <xf numFmtId="169" fontId="22" fillId="0" borderId="14" applyAlignment="1" pivotButton="0" quotePrefix="0" xfId="4">
      <alignment horizontal="right"/>
    </xf>
    <xf numFmtId="0" fontId="5" fillId="3" borderId="43" applyAlignment="1" pivotButton="0" quotePrefix="0" xfId="0">
      <alignment horizontal="center" vertical="center"/>
    </xf>
    <xf numFmtId="0" fontId="9" fillId="2" borderId="44" applyAlignment="1" pivotButton="0" quotePrefix="0" xfId="0">
      <alignment horizontal="center"/>
    </xf>
    <xf numFmtId="0" fontId="9" fillId="2" borderId="45" applyAlignment="1" pivotButton="0" quotePrefix="0" xfId="0">
      <alignment horizontal="center"/>
    </xf>
    <xf numFmtId="0" fontId="17" fillId="0" borderId="44" applyAlignment="1" pivotButton="0" quotePrefix="0" xfId="0">
      <alignment horizontal="center" vertical="center"/>
    </xf>
    <xf numFmtId="0" fontId="17" fillId="0" borderId="46" applyAlignment="1" pivotButton="0" quotePrefix="0" xfId="0">
      <alignment horizontal="center" vertical="center"/>
    </xf>
    <xf numFmtId="0" fontId="33" fillId="5" borderId="44" applyAlignment="1" pivotButton="0" quotePrefix="0" xfId="0">
      <alignment horizontal="center" vertical="center"/>
    </xf>
    <xf numFmtId="0" fontId="41" fillId="5" borderId="45" applyAlignment="1" pivotButton="0" quotePrefix="0" xfId="8">
      <alignment horizontal="center" vertical="center"/>
    </xf>
    <xf numFmtId="0" fontId="0" fillId="0" borderId="44" applyAlignment="1" pivotButton="0" quotePrefix="0" xfId="0">
      <alignment horizontal="right"/>
    </xf>
    <xf numFmtId="4" fontId="0" fillId="0" borderId="45" pivotButton="0" quotePrefix="0" xfId="0"/>
    <xf numFmtId="4" fontId="0" fillId="2" borderId="45" pivotButton="0" quotePrefix="0" xfId="4"/>
    <xf numFmtId="169" fontId="0" fillId="2" borderId="45" pivotButton="0" quotePrefix="0" xfId="4"/>
    <xf numFmtId="0" fontId="45" fillId="13" borderId="44" applyAlignment="1" pivotButton="0" quotePrefix="0" xfId="0">
      <alignment horizontal="right"/>
    </xf>
    <xf numFmtId="169" fontId="40" fillId="13" borderId="45" pivotButton="0" quotePrefix="0" xfId="7"/>
    <xf numFmtId="0" fontId="5" fillId="0" borderId="44" applyAlignment="1" pivotButton="0" quotePrefix="0" xfId="0">
      <alignment horizontal="right"/>
    </xf>
    <xf numFmtId="164" fontId="5" fillId="0" borderId="45" pivotButton="0" quotePrefix="0" xfId="1"/>
    <xf numFmtId="9" fontId="6" fillId="2" borderId="45" pivotButton="0" quotePrefix="0" xfId="2"/>
    <xf numFmtId="9" fontId="2" fillId="13" borderId="45" pivotButton="0" quotePrefix="0" xfId="2"/>
    <xf numFmtId="0" fontId="8" fillId="0" borderId="44" applyAlignment="1" pivotButton="0" quotePrefix="0" xfId="0">
      <alignment horizontal="right"/>
    </xf>
    <xf numFmtId="168" fontId="13" fillId="0" borderId="45" pivotButton="0" quotePrefix="0" xfId="1"/>
    <xf numFmtId="0" fontId="6" fillId="0" borderId="44" applyAlignment="1" pivotButton="0" quotePrefix="0" xfId="0">
      <alignment horizontal="right"/>
    </xf>
    <xf numFmtId="169" fontId="6" fillId="0" borderId="45" pivotButton="0" quotePrefix="0" xfId="1"/>
    <xf numFmtId="0" fontId="7" fillId="0" borderId="44" applyAlignment="1" pivotButton="0" quotePrefix="0" xfId="0">
      <alignment horizontal="right"/>
    </xf>
    <xf numFmtId="168" fontId="39" fillId="0" borderId="45" pivotButton="0" quotePrefix="0" xfId="1"/>
    <xf numFmtId="170" fontId="45" fillId="13" borderId="44" applyAlignment="1" pivotButton="0" quotePrefix="0" xfId="0">
      <alignment horizontal="right"/>
    </xf>
    <xf numFmtId="0" fontId="5" fillId="3" borderId="45" applyAlignment="1" pivotButton="0" quotePrefix="0" xfId="0">
      <alignment horizontal="center" vertical="center"/>
    </xf>
    <xf numFmtId="0" fontId="7" fillId="0" borderId="44" pivotButton="0" quotePrefix="0" xfId="0"/>
    <xf numFmtId="0" fontId="7" fillId="0" borderId="45" pivotButton="0" quotePrefix="0" xfId="0"/>
    <xf numFmtId="0" fontId="0" fillId="6" borderId="47" applyAlignment="1" pivotButton="0" quotePrefix="0" xfId="0">
      <alignment horizontal="right"/>
    </xf>
    <xf numFmtId="169" fontId="0" fillId="6" borderId="48" pivotButton="0" quotePrefix="0" xfId="7"/>
    <xf numFmtId="169" fontId="0" fillId="2" borderId="45" pivotButton="0" quotePrefix="0" xfId="7"/>
    <xf numFmtId="0" fontId="0" fillId="6" borderId="44" applyAlignment="1" pivotButton="0" quotePrefix="0" xfId="0">
      <alignment horizontal="right"/>
    </xf>
    <xf numFmtId="169" fontId="0" fillId="6" borderId="45" pivotButton="0" quotePrefix="0" xfId="7"/>
    <xf numFmtId="0" fontId="2" fillId="4" borderId="49" applyAlignment="1" pivotButton="0" quotePrefix="0" xfId="0">
      <alignment horizontal="right"/>
    </xf>
    <xf numFmtId="169" fontId="0" fillId="4" borderId="50" pivotButton="0" quotePrefix="0" xfId="7"/>
    <xf numFmtId="164" fontId="7" fillId="0" borderId="0" pivotButton="0" quotePrefix="0" xfId="1"/>
    <xf numFmtId="164" fontId="7" fillId="0" borderId="45" pivotButton="0" quotePrefix="0" xfId="1"/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8" fillId="0" borderId="44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45" applyAlignment="1" pivotButton="0" quotePrefix="0" xfId="0">
      <alignment horizontal="center"/>
    </xf>
    <xf numFmtId="170" fontId="40" fillId="13" borderId="45" pivotButton="0" quotePrefix="0" xfId="7"/>
    <xf numFmtId="170" fontId="2" fillId="0" borderId="44" applyAlignment="1" pivotButton="0" quotePrefix="0" xfId="0">
      <alignment horizontal="center"/>
    </xf>
    <xf numFmtId="170" fontId="2" fillId="0" borderId="45" pivotButton="0" quotePrefix="0" xfId="1"/>
    <xf numFmtId="168" fontId="5" fillId="0" borderId="0" pivotButton="0" quotePrefix="0" xfId="1"/>
    <xf numFmtId="168" fontId="5" fillId="0" borderId="0" pivotButton="0" quotePrefix="0" xfId="0"/>
    <xf numFmtId="168" fontId="5" fillId="0" borderId="45" pivotButton="0" quotePrefix="0" xfId="1"/>
    <xf numFmtId="0" fontId="2" fillId="0" borderId="44" applyAlignment="1" pivotButton="0" quotePrefix="0" xfId="0">
      <alignment horizontal="right"/>
    </xf>
    <xf numFmtId="168" fontId="2" fillId="0" borderId="0" pivotButton="0" quotePrefix="0" xfId="1"/>
    <xf numFmtId="168" fontId="2" fillId="0" borderId="45" pivotButton="0" quotePrefix="0" xfId="1"/>
    <xf numFmtId="0" fontId="0" fillId="2" borderId="44" applyAlignment="1" pivotButton="0" quotePrefix="0" xfId="0">
      <alignment horizontal="right"/>
    </xf>
    <xf numFmtId="169" fontId="0" fillId="2" borderId="0" pivotButton="0" quotePrefix="0" xfId="1"/>
    <xf numFmtId="169" fontId="0" fillId="2" borderId="0" pivotButton="0" quotePrefix="0" xfId="0"/>
    <xf numFmtId="169" fontId="0" fillId="2" borderId="45" pivotButton="0" quotePrefix="0" xfId="1"/>
    <xf numFmtId="168" fontId="0" fillId="2" borderId="0" pivotButton="0" quotePrefix="0" xfId="1"/>
    <xf numFmtId="168" fontId="0" fillId="2" borderId="0" pivotButton="0" quotePrefix="0" xfId="0"/>
    <xf numFmtId="168" fontId="0" fillId="2" borderId="45" pivotButton="0" quotePrefix="0" xfId="1"/>
    <xf numFmtId="0" fontId="2" fillId="2" borderId="44" applyAlignment="1" pivotButton="0" quotePrefix="0" xfId="0">
      <alignment horizontal="right"/>
    </xf>
    <xf numFmtId="168" fontId="2" fillId="2" borderId="0" pivotButton="0" quotePrefix="0" xfId="1"/>
    <xf numFmtId="168" fontId="2" fillId="2" borderId="45" pivotButton="0" quotePrefix="0" xfId="1"/>
    <xf numFmtId="4" fontId="40" fillId="13" borderId="45" pivotButton="0" quotePrefix="0" xfId="7"/>
    <xf numFmtId="0" fontId="0" fillId="0" borderId="44" pivotButton="0" quotePrefix="0" xfId="0"/>
    <xf numFmtId="4" fontId="0" fillId="0" borderId="45" pivotButton="0" quotePrefix="0" xfId="1"/>
    <xf numFmtId="168" fontId="7" fillId="0" borderId="0" pivotButton="0" quotePrefix="0" xfId="1"/>
    <xf numFmtId="168" fontId="7" fillId="0" borderId="0" pivotButton="0" quotePrefix="0" xfId="0"/>
    <xf numFmtId="168" fontId="7" fillId="0" borderId="45" pivotButton="0" quotePrefix="0" xfId="1"/>
    <xf numFmtId="168" fontId="0" fillId="0" borderId="0" pivotButton="0" quotePrefix="0" xfId="1"/>
    <xf numFmtId="168" fontId="0" fillId="0" borderId="0" pivotButton="0" quotePrefix="0" xfId="0"/>
    <xf numFmtId="168" fontId="0" fillId="0" borderId="45" pivotButton="0" quotePrefix="0" xfId="1"/>
    <xf numFmtId="169" fontId="0" fillId="0" borderId="44" applyAlignment="1" pivotButton="0" quotePrefix="0" xfId="0">
      <alignment horizontal="right"/>
    </xf>
    <xf numFmtId="169" fontId="0" fillId="0" borderId="45" pivotButton="0" quotePrefix="0" xfId="1"/>
    <xf numFmtId="0" fontId="11" fillId="0" borderId="44" applyAlignment="1" pivotButton="0" quotePrefix="0" xfId="0">
      <alignment horizontal="right"/>
    </xf>
    <xf numFmtId="168" fontId="10" fillId="0" borderId="0" pivotButton="0" quotePrefix="0" xfId="0"/>
    <xf numFmtId="168" fontId="10" fillId="0" borderId="45" pivotButton="0" quotePrefix="0" xfId="0"/>
    <xf numFmtId="0" fontId="42" fillId="0" borderId="44" applyAlignment="1" pivotButton="0" quotePrefix="0" xfId="0">
      <alignment horizontal="right"/>
    </xf>
    <xf numFmtId="169" fontId="0" fillId="0" borderId="45" pivotButton="0" quotePrefix="0" xfId="1"/>
    <xf numFmtId="168" fontId="0" fillId="0" borderId="45" pivotButton="0" quotePrefix="0" xfId="1"/>
    <xf numFmtId="169" fontId="6" fillId="0" borderId="0" pivotButton="0" quotePrefix="0" xfId="0"/>
    <xf numFmtId="169" fontId="6" fillId="0" borderId="45" pivotButton="0" quotePrefix="0" xfId="1"/>
    <xf numFmtId="0" fontId="47" fillId="0" borderId="44" applyAlignment="1" pivotButton="0" quotePrefix="0" xfId="0">
      <alignment horizontal="right"/>
    </xf>
    <xf numFmtId="0" fontId="46" fillId="7" borderId="51" applyAlignment="1" pivotButton="0" quotePrefix="0" xfId="0">
      <alignment horizontal="right"/>
    </xf>
    <xf numFmtId="169" fontId="33" fillId="7" borderId="52" pivotButton="0" quotePrefix="0" xfId="7"/>
    <xf numFmtId="0" fontId="5" fillId="0" borderId="44" pivotButton="0" quotePrefix="0" xfId="0"/>
    <xf numFmtId="168" fontId="12" fillId="0" borderId="45" pivotButton="0" quotePrefix="0" xfId="1"/>
    <xf numFmtId="168" fontId="43" fillId="0" borderId="45" pivotButton="0" quotePrefix="0" xfId="1"/>
    <xf numFmtId="0" fontId="5" fillId="0" borderId="53" pivotButton="0" quotePrefix="0" xfId="0"/>
    <xf numFmtId="164" fontId="7" fillId="0" borderId="54" pivotButton="0" quotePrefix="0" xfId="1"/>
    <xf numFmtId="0" fontId="7" fillId="0" borderId="54" pivotButton="0" quotePrefix="0" xfId="0"/>
    <xf numFmtId="164" fontId="7" fillId="0" borderId="55" pivotButton="0" quotePrefix="0" xfId="1"/>
    <xf numFmtId="0" fontId="5" fillId="3" borderId="41" applyAlignment="1" pivotButton="0" quotePrefix="0" xfId="0">
      <alignment horizontal="center" vertical="center"/>
    </xf>
    <xf numFmtId="0" fontId="5" fillId="3" borderId="42" applyAlignment="1" pivotButton="0" quotePrefix="0" xfId="0">
      <alignment horizontal="center" vertical="center"/>
    </xf>
    <xf numFmtId="0" fontId="5" fillId="3" borderId="44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/>
    </xf>
    <xf numFmtId="0" fontId="15" fillId="8" borderId="0" applyAlignment="1" pivotButton="0" quotePrefix="0" xfId="3">
      <alignment horizontal="center" vertical="center"/>
    </xf>
    <xf numFmtId="0" fontId="16" fillId="8" borderId="0" applyAlignment="1" pivotButton="0" quotePrefix="0" xfId="3">
      <alignment horizontal="center"/>
    </xf>
    <xf numFmtId="0" fontId="36" fillId="5" borderId="0" applyAlignment="1" pivotButton="0" quotePrefix="0" xfId="0">
      <alignment horizontal="center" vertical="center"/>
    </xf>
    <xf numFmtId="0" fontId="27" fillId="12" borderId="0" applyAlignment="1" pivotButton="0" quotePrefix="0" xfId="0">
      <alignment horizontal="center" vertical="top"/>
    </xf>
    <xf numFmtId="0" fontId="18" fillId="10" borderId="6" applyAlignment="1" pivotButton="0" quotePrefix="0" xfId="0">
      <alignment horizontal="center" vertical="center"/>
    </xf>
    <xf numFmtId="0" fontId="18" fillId="10" borderId="7" applyAlignment="1" pivotButton="0" quotePrefix="0" xfId="0">
      <alignment horizontal="center" vertical="center"/>
    </xf>
    <xf numFmtId="0" fontId="28" fillId="12" borderId="0" applyAlignment="1" pivotButton="0" quotePrefix="0" xfId="0">
      <alignment horizontal="center" vertical="top"/>
    </xf>
    <xf numFmtId="0" fontId="29" fillId="12" borderId="0" applyAlignment="1" pivotButton="0" quotePrefix="0" xfId="0">
      <alignment horizontal="center" vertical="top"/>
    </xf>
    <xf numFmtId="0" fontId="21" fillId="11" borderId="29" applyAlignment="1" pivotButton="0" quotePrefix="0" xfId="0">
      <alignment horizontal="center"/>
    </xf>
    <xf numFmtId="0" fontId="21" fillId="11" borderId="30" applyAlignment="1" pivotButton="0" quotePrefix="0" xfId="0">
      <alignment horizontal="center"/>
    </xf>
    <xf numFmtId="0" fontId="21" fillId="11" borderId="31" applyAlignment="1" pivotButton="0" quotePrefix="0" xfId="0">
      <alignment horizontal="center"/>
    </xf>
    <xf numFmtId="0" fontId="21" fillId="11" borderId="27" applyAlignment="1" pivotButton="0" quotePrefix="0" xfId="0">
      <alignment horizontal="center" wrapText="1"/>
    </xf>
    <xf numFmtId="0" fontId="21" fillId="11" borderId="0" applyAlignment="1" pivotButton="0" quotePrefix="0" xfId="0">
      <alignment horizontal="center" wrapText="1"/>
    </xf>
    <xf numFmtId="0" fontId="21" fillId="11" borderId="28" applyAlignment="1" pivotButton="0" quotePrefix="0" xfId="0">
      <alignment horizontal="center" wrapText="1"/>
    </xf>
    <xf numFmtId="0" fontId="48" fillId="11" borderId="24" applyAlignment="1" pivotButton="0" quotePrefix="0" xfId="0">
      <alignment horizontal="left" wrapText="1"/>
    </xf>
    <xf numFmtId="0" fontId="48" fillId="11" borderId="25" applyAlignment="1" pivotButton="0" quotePrefix="0" xfId="0">
      <alignment horizontal="left" wrapText="1"/>
    </xf>
    <xf numFmtId="0" fontId="48" fillId="11" borderId="26" applyAlignment="1" pivotButton="0" quotePrefix="0" xfId="0">
      <alignment horizontal="left" wrapText="1"/>
    </xf>
    <xf numFmtId="169" fontId="25" fillId="0" borderId="15" applyAlignment="1" pivotButton="0" quotePrefix="0" xfId="4">
      <alignment horizontal="center" wrapText="1"/>
    </xf>
    <xf numFmtId="0" fontId="21" fillId="11" borderId="27" applyAlignment="1" pivotButton="0" quotePrefix="0" xfId="0">
      <alignment horizontal="left" wrapText="1"/>
    </xf>
    <xf numFmtId="0" fontId="21" fillId="11" borderId="0" applyAlignment="1" pivotButton="0" quotePrefix="0" xfId="0">
      <alignment horizontal="left" wrapText="1"/>
    </xf>
    <xf numFmtId="0" fontId="21" fillId="11" borderId="28" applyAlignment="1" pivotButton="0" quotePrefix="0" xfId="0">
      <alignment horizontal="left" wrapText="1"/>
    </xf>
    <xf numFmtId="0" fontId="5" fillId="3" borderId="0" applyAlignment="1" pivotButton="0" quotePrefix="0" xfId="0">
      <alignment horizontal="center" vertical="center"/>
    </xf>
    <xf numFmtId="164" fontId="2" fillId="0" borderId="0" pivotButton="0" quotePrefix="0" xfId="1"/>
    <xf numFmtId="164" fontId="0" fillId="2" borderId="0" pivotButton="0" quotePrefix="0" xfId="1"/>
    <xf numFmtId="164" fontId="0" fillId="2" borderId="0" pivotButton="0" quotePrefix="0" xfId="0"/>
    <xf numFmtId="164" fontId="2" fillId="6" borderId="0" pivotButton="0" quotePrefix="0" xfId="1"/>
    <xf numFmtId="0" fontId="0" fillId="0" borderId="42" pivotButton="0" quotePrefix="0" xfId="0"/>
    <xf numFmtId="169" fontId="0" fillId="0" borderId="0" pivotButton="0" quotePrefix="0" xfId="0"/>
    <xf numFmtId="169" fontId="0" fillId="2" borderId="0" pivotButton="0" quotePrefix="0" xfId="4"/>
    <xf numFmtId="164" fontId="7" fillId="0" borderId="0" pivotButton="0" quotePrefix="0" xfId="0"/>
    <xf numFmtId="169" fontId="0" fillId="2" borderId="45" pivotButton="0" quotePrefix="0" xfId="4"/>
    <xf numFmtId="169" fontId="40" fillId="13" borderId="0" pivotButton="0" quotePrefix="0" xfId="7"/>
    <xf numFmtId="169" fontId="40" fillId="13" borderId="45" pivotButton="0" quotePrefix="0" xfId="7"/>
    <xf numFmtId="164" fontId="0" fillId="0" borderId="0" pivotButton="0" quotePrefix="0" xfId="0"/>
    <xf numFmtId="164" fontId="5" fillId="0" borderId="0" pivotButton="0" quotePrefix="0" xfId="1"/>
    <xf numFmtId="164" fontId="5" fillId="0" borderId="45" pivotButton="0" quotePrefix="0" xfId="1"/>
    <xf numFmtId="169" fontId="0" fillId="0" borderId="0" pivotButton="0" quotePrefix="0" xfId="1"/>
    <xf numFmtId="168" fontId="13" fillId="0" borderId="0" pivotButton="0" quotePrefix="0" xfId="1"/>
    <xf numFmtId="164" fontId="39" fillId="0" borderId="0" pivotButton="0" quotePrefix="0" xfId="1"/>
    <xf numFmtId="168" fontId="13" fillId="0" borderId="45" pivotButton="0" quotePrefix="0" xfId="1"/>
    <xf numFmtId="169" fontId="6" fillId="0" borderId="0" pivotButton="0" quotePrefix="0" xfId="1"/>
    <xf numFmtId="169" fontId="6" fillId="0" borderId="45" pivotButton="0" quotePrefix="0" xfId="1"/>
    <xf numFmtId="168" fontId="39" fillId="0" borderId="0" pivotButton="0" quotePrefix="0" xfId="1"/>
    <xf numFmtId="168" fontId="39" fillId="0" borderId="45" pivotButton="0" quotePrefix="0" xfId="1"/>
    <xf numFmtId="170" fontId="0" fillId="0" borderId="0" pivotButton="0" quotePrefix="0" xfId="0"/>
    <xf numFmtId="170" fontId="3" fillId="0" borderId="0" pivotButton="0" quotePrefix="0" xfId="0"/>
    <xf numFmtId="170" fontId="45" fillId="13" borderId="44" applyAlignment="1" pivotButton="0" quotePrefix="0" xfId="0">
      <alignment horizontal="right"/>
    </xf>
    <xf numFmtId="169" fontId="0" fillId="6" borderId="36" pivotButton="0" quotePrefix="0" xfId="7"/>
    <xf numFmtId="169" fontId="0" fillId="6" borderId="48" pivotButton="0" quotePrefix="0" xfId="7"/>
    <xf numFmtId="164" fontId="0" fillId="0" borderId="0" pivotButton="0" quotePrefix="0" xfId="1"/>
    <xf numFmtId="169" fontId="0" fillId="2" borderId="0" pivotButton="0" quotePrefix="0" xfId="7"/>
    <xf numFmtId="169" fontId="0" fillId="2" borderId="45" pivotButton="0" quotePrefix="0" xfId="7"/>
    <xf numFmtId="169" fontId="0" fillId="6" borderId="0" pivotButton="0" quotePrefix="0" xfId="7"/>
    <xf numFmtId="169" fontId="0" fillId="6" borderId="45" pivotButton="0" quotePrefix="0" xfId="7"/>
    <xf numFmtId="169" fontId="0" fillId="4" borderId="38" pivotButton="0" quotePrefix="0" xfId="7"/>
    <xf numFmtId="169" fontId="0" fillId="4" borderId="50" pivotButton="0" quotePrefix="0" xfId="7"/>
    <xf numFmtId="164" fontId="7" fillId="0" borderId="0" pivotButton="0" quotePrefix="0" xfId="1"/>
    <xf numFmtId="164" fontId="7" fillId="0" borderId="45" pivotButton="0" quotePrefix="0" xfId="1"/>
    <xf numFmtId="170" fontId="40" fillId="13" borderId="45" pivotButton="0" quotePrefix="0" xfId="7"/>
    <xf numFmtId="170" fontId="2" fillId="0" borderId="44" applyAlignment="1" pivotButton="0" quotePrefix="0" xfId="0">
      <alignment horizontal="center"/>
    </xf>
    <xf numFmtId="169" fontId="2" fillId="0" borderId="0" pivotButton="0" quotePrefix="0" xfId="1"/>
    <xf numFmtId="170" fontId="2" fillId="0" borderId="45" pivotButton="0" quotePrefix="0" xfId="1"/>
    <xf numFmtId="168" fontId="5" fillId="0" borderId="0" pivotButton="0" quotePrefix="0" xfId="1"/>
    <xf numFmtId="168" fontId="5" fillId="0" borderId="0" pivotButton="0" quotePrefix="0" xfId="0"/>
    <xf numFmtId="168" fontId="5" fillId="0" borderId="45" pivotButton="0" quotePrefix="0" xfId="1"/>
    <xf numFmtId="168" fontId="2" fillId="0" borderId="0" pivotButton="0" quotePrefix="0" xfId="1"/>
    <xf numFmtId="168" fontId="2" fillId="0" borderId="45" pivotButton="0" quotePrefix="0" xfId="1"/>
    <xf numFmtId="169" fontId="0" fillId="2" borderId="0" pivotButton="0" quotePrefix="0" xfId="1"/>
    <xf numFmtId="169" fontId="0" fillId="2" borderId="0" pivotButton="0" quotePrefix="0" xfId="0"/>
    <xf numFmtId="169" fontId="0" fillId="2" borderId="45" pivotButton="0" quotePrefix="0" xfId="1"/>
    <xf numFmtId="168" fontId="0" fillId="2" borderId="0" pivotButton="0" quotePrefix="0" xfId="1"/>
    <xf numFmtId="168" fontId="0" fillId="2" borderId="0" pivotButton="0" quotePrefix="0" xfId="0"/>
    <xf numFmtId="168" fontId="0" fillId="2" borderId="45" pivotButton="0" quotePrefix="0" xfId="1"/>
    <xf numFmtId="168" fontId="2" fillId="2" borderId="0" pivotButton="0" quotePrefix="0" xfId="1"/>
    <xf numFmtId="168" fontId="2" fillId="2" borderId="45" pivotButton="0" quotePrefix="0" xfId="1"/>
    <xf numFmtId="168" fontId="7" fillId="0" borderId="0" pivotButton="0" quotePrefix="0" xfId="1"/>
    <xf numFmtId="168" fontId="7" fillId="0" borderId="0" pivotButton="0" quotePrefix="0" xfId="0"/>
    <xf numFmtId="168" fontId="7" fillId="0" borderId="45" pivotButton="0" quotePrefix="0" xfId="1"/>
    <xf numFmtId="166" fontId="7" fillId="0" borderId="0" pivotButton="0" quotePrefix="0" xfId="0"/>
    <xf numFmtId="168" fontId="0" fillId="0" borderId="0" pivotButton="0" quotePrefix="0" xfId="1"/>
    <xf numFmtId="168" fontId="0" fillId="0" borderId="0" pivotButton="0" quotePrefix="0" xfId="0"/>
    <xf numFmtId="168" fontId="0" fillId="0" borderId="45" pivotButton="0" quotePrefix="0" xfId="1"/>
    <xf numFmtId="169" fontId="3" fillId="0" borderId="0" pivotButton="0" quotePrefix="0" xfId="0"/>
    <xf numFmtId="169" fontId="0" fillId="0" borderId="44" applyAlignment="1" pivotButton="0" quotePrefix="0" xfId="0">
      <alignment horizontal="right"/>
    </xf>
    <xf numFmtId="169" fontId="0" fillId="0" borderId="45" pivotButton="0" quotePrefix="0" xfId="1"/>
    <xf numFmtId="169" fontId="2" fillId="0" borderId="0" pivotButton="0" quotePrefix="0" xfId="0"/>
    <xf numFmtId="168" fontId="10" fillId="0" borderId="0" pivotButton="0" quotePrefix="0" xfId="0"/>
    <xf numFmtId="168" fontId="10" fillId="0" borderId="45" pivotButton="0" quotePrefix="0" xfId="0"/>
    <xf numFmtId="166" fontId="4" fillId="0" borderId="0" pivotButton="0" quotePrefix="0" xfId="0"/>
    <xf numFmtId="169" fontId="6" fillId="0" borderId="0" pivotButton="0" quotePrefix="0" xfId="0"/>
    <xf numFmtId="169" fontId="33" fillId="7" borderId="39" pivotButton="0" quotePrefix="0" xfId="7"/>
    <xf numFmtId="169" fontId="33" fillId="7" borderId="52" pivotButton="0" quotePrefix="0" xfId="7"/>
    <xf numFmtId="168" fontId="12" fillId="0" borderId="0" pivotButton="0" quotePrefix="0" xfId="1"/>
    <xf numFmtId="168" fontId="12" fillId="0" borderId="45" pivotButton="0" quotePrefix="0" xfId="1"/>
    <xf numFmtId="168" fontId="43" fillId="0" borderId="0" pivotButton="0" quotePrefix="0" xfId="1"/>
    <xf numFmtId="168" fontId="43" fillId="0" borderId="45" pivotButton="0" quotePrefix="0" xfId="1"/>
    <xf numFmtId="164" fontId="7" fillId="0" borderId="54" pivotButton="0" quotePrefix="0" xfId="1"/>
    <xf numFmtId="164" fontId="7" fillId="0" borderId="55" pivotButton="0" quotePrefix="0" xfId="1"/>
    <xf numFmtId="0" fontId="18" fillId="10" borderId="56" applyAlignment="1" pivotButton="0" quotePrefix="0" xfId="0">
      <alignment horizontal="center" vertical="center"/>
    </xf>
    <xf numFmtId="0" fontId="0" fillId="0" borderId="7" pivotButton="0" quotePrefix="0" xfId="0"/>
    <xf numFmtId="164" fontId="30" fillId="9" borderId="9" applyAlignment="1" pivotButton="0" quotePrefix="0" xfId="0">
      <alignment horizontal="right"/>
    </xf>
    <xf numFmtId="164" fontId="20" fillId="0" borderId="10" applyAlignment="1" pivotButton="0" quotePrefix="0" xfId="4">
      <alignment horizontal="center" vertical="center"/>
    </xf>
    <xf numFmtId="164" fontId="19" fillId="0" borderId="11" applyAlignment="1" pivotButton="0" quotePrefix="0" xfId="4">
      <alignment horizontal="right"/>
    </xf>
    <xf numFmtId="164" fontId="19" fillId="0" borderId="12" applyAlignment="1" pivotButton="0" quotePrefix="0" xfId="4">
      <alignment horizontal="right"/>
    </xf>
    <xf numFmtId="164" fontId="19" fillId="0" borderId="13" applyAlignment="1" pivotButton="0" quotePrefix="0" xfId="4">
      <alignment horizontal="right"/>
    </xf>
    <xf numFmtId="169" fontId="22" fillId="0" borderId="15" applyAlignment="1" pivotButton="0" quotePrefix="0" xfId="4">
      <alignment horizontal="right"/>
    </xf>
    <xf numFmtId="169" fontId="19" fillId="0" borderId="16" applyAlignment="1" pivotButton="0" quotePrefix="0" xfId="4">
      <alignment horizontal="right"/>
    </xf>
    <xf numFmtId="169" fontId="19" fillId="0" borderId="17" applyAlignment="1" pivotButton="0" quotePrefix="0" xfId="4">
      <alignment horizontal="right"/>
    </xf>
    <xf numFmtId="169" fontId="19" fillId="0" borderId="18" applyAlignment="1" pivotButton="0" quotePrefix="0" xfId="4">
      <alignment horizontal="right"/>
    </xf>
    <xf numFmtId="169" fontId="19" fillId="0" borderId="15" pivotButton="0" quotePrefix="0" xfId="4"/>
    <xf numFmtId="169" fontId="19" fillId="0" borderId="16" pivotButton="0" quotePrefix="0" xfId="4"/>
    <xf numFmtId="169" fontId="19" fillId="0" borderId="17" pivotButton="0" quotePrefix="0" xfId="4"/>
    <xf numFmtId="169" fontId="19" fillId="0" borderId="18" pivotButton="0" quotePrefix="0" xfId="4"/>
    <xf numFmtId="164" fontId="30" fillId="0" borderId="14" applyAlignment="1" pivotButton="0" quotePrefix="0" xfId="0">
      <alignment horizontal="right"/>
    </xf>
    <xf numFmtId="169" fontId="20" fillId="0" borderId="15" applyAlignment="1" pivotButton="0" quotePrefix="0" xfId="4">
      <alignment horizontal="center"/>
    </xf>
    <xf numFmtId="169" fontId="21" fillId="0" borderId="16" applyAlignment="1" pivotButton="0" quotePrefix="0" xfId="4">
      <alignment horizontal="right"/>
    </xf>
    <xf numFmtId="169" fontId="21" fillId="0" borderId="17" applyAlignment="1" pivotButton="0" quotePrefix="0" xfId="4">
      <alignment horizontal="right"/>
    </xf>
    <xf numFmtId="169" fontId="23" fillId="0" borderId="15" pivotButton="0" quotePrefix="0" xfId="4"/>
    <xf numFmtId="169" fontId="24" fillId="0" borderId="15" pivotButton="0" quotePrefix="0" xfId="4"/>
    <xf numFmtId="169" fontId="24" fillId="0" borderId="16" pivotButton="0" quotePrefix="0" xfId="4"/>
    <xf numFmtId="169" fontId="24" fillId="0" borderId="17" pivotButton="0" quotePrefix="0" xfId="4"/>
    <xf numFmtId="169" fontId="24" fillId="0" borderId="18" pivotButton="0" quotePrefix="0" xfId="4"/>
    <xf numFmtId="169" fontId="21" fillId="0" borderId="15" applyAlignment="1" pivotButton="0" quotePrefix="0" xfId="4">
      <alignment horizontal="right"/>
    </xf>
    <xf numFmtId="169" fontId="25" fillId="0" borderId="15" applyAlignment="1" pivotButton="0" quotePrefix="0" xfId="4">
      <alignment horizontal="center" wrapText="1"/>
    </xf>
    <xf numFmtId="0" fontId="0" fillId="0" borderId="15" pivotButton="0" quotePrefix="0" xfId="0"/>
    <xf numFmtId="169" fontId="26" fillId="0" borderId="15" applyAlignment="1" pivotButton="0" quotePrefix="0" xfId="4">
      <alignment horizontal="right"/>
    </xf>
    <xf numFmtId="169" fontId="21" fillId="0" borderId="18" applyAlignment="1" pivotButton="0" quotePrefix="0" xfId="4">
      <alignment horizontal="right"/>
    </xf>
    <xf numFmtId="169" fontId="21" fillId="0" borderId="20" applyAlignment="1" pivotButton="0" quotePrefix="0" xfId="4">
      <alignment horizontal="right"/>
    </xf>
    <xf numFmtId="169" fontId="21" fillId="0" borderId="21" applyAlignment="1" pivotButton="0" quotePrefix="0" xfId="4">
      <alignment horizontal="right"/>
    </xf>
    <xf numFmtId="169" fontId="21" fillId="0" borderId="22" applyAlignment="1" pivotButton="0" quotePrefix="0" xfId="4">
      <alignment horizontal="right"/>
    </xf>
    <xf numFmtId="169" fontId="19" fillId="0" borderId="23" applyAlignment="1" pivotButton="0" quotePrefix="0" xfId="4">
      <alignment horizontal="right"/>
    </xf>
    <xf numFmtId="164" fontId="21" fillId="0" borderId="0" applyAlignment="1" pivotButton="0" quotePrefix="0" xfId="4">
      <alignment horizontal="right"/>
    </xf>
    <xf numFmtId="164" fontId="19" fillId="0" borderId="0" applyAlignment="1" pivotButton="0" quotePrefix="0" xfId="4">
      <alignment horizontal="right"/>
    </xf>
    <xf numFmtId="169" fontId="21" fillId="0" borderId="32" applyAlignment="1" pivotButton="0" quotePrefix="0" xfId="4">
      <alignment horizontal="right"/>
    </xf>
    <xf numFmtId="169" fontId="21" fillId="0" borderId="33" applyAlignment="1" pivotButton="0" quotePrefix="0" xfId="4">
      <alignment horizontal="right"/>
    </xf>
    <xf numFmtId="169" fontId="19" fillId="0" borderId="26" applyAlignment="1" pivotButton="0" quotePrefix="0" xfId="4">
      <alignment horizontal="right"/>
    </xf>
    <xf numFmtId="169" fontId="21" fillId="0" borderId="14" applyAlignment="1" pivotButton="0" quotePrefix="0" xfId="4">
      <alignment horizontal="right"/>
    </xf>
    <xf numFmtId="169" fontId="19" fillId="0" borderId="28" applyAlignment="1" pivotButton="0" quotePrefix="0" xfId="4">
      <alignment horizontal="right"/>
    </xf>
    <xf numFmtId="169" fontId="22" fillId="0" borderId="14" applyAlignment="1" pivotButton="0" quotePrefix="0" xfId="4">
      <alignment horizontal="right"/>
    </xf>
    <xf numFmtId="169" fontId="38" fillId="0" borderId="14" applyAlignment="1" pivotButton="0" quotePrefix="0" xfId="4">
      <alignment horizontal="right"/>
    </xf>
    <xf numFmtId="169" fontId="21" fillId="0" borderId="34" applyAlignment="1" pivotButton="0" quotePrefix="0" xfId="4">
      <alignment horizontal="right"/>
    </xf>
    <xf numFmtId="169" fontId="21" fillId="0" borderId="35" applyAlignment="1" pivotButton="0" quotePrefix="0" xfId="4">
      <alignment horizontal="right"/>
    </xf>
    <xf numFmtId="169" fontId="19" fillId="0" borderId="31" applyAlignment="1" pivotButton="0" quotePrefix="0" xfId="4">
      <alignment horizontal="right"/>
    </xf>
    <xf numFmtId="0" fontId="48" fillId="11" borderId="60" applyAlignment="1" pivotButton="0" quotePrefix="0" xfId="0">
      <alignment horizontal="left" wrapText="1"/>
    </xf>
    <xf numFmtId="0" fontId="0" fillId="0" borderId="25" pivotButton="0" quotePrefix="0" xfId="0"/>
    <xf numFmtId="0" fontId="0" fillId="0" borderId="26" pivotButton="0" quotePrefix="0" xfId="0"/>
    <xf numFmtId="0" fontId="21" fillId="11" borderId="58" applyAlignment="1" pivotButton="0" quotePrefix="0" xfId="0">
      <alignment horizontal="center" wrapText="1"/>
    </xf>
    <xf numFmtId="0" fontId="0" fillId="0" borderId="28" pivotButton="0" quotePrefix="0" xfId="0"/>
    <xf numFmtId="0" fontId="21" fillId="11" borderId="58" applyAlignment="1" pivotButton="0" quotePrefix="0" xfId="0">
      <alignment horizontal="left" wrapText="1"/>
    </xf>
    <xf numFmtId="0" fontId="21" fillId="11" borderId="59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164" fontId="19" fillId="0" borderId="0" pivotButton="0" quotePrefix="0" xfId="4"/>
  </cellXfs>
  <cellStyles count="9">
    <cellStyle name="Normal" xfId="0" builtinId="0"/>
    <cellStyle name="Moeda" xfId="1" builtinId="4"/>
    <cellStyle name="Porcentagem" xfId="2" builtinId="5"/>
    <cellStyle name="Normal 2" xfId="3"/>
    <cellStyle name="Moeda 2" xfId="4"/>
    <cellStyle name="Normal 72" xfId="5"/>
    <cellStyle name="Normal 3" xfId="6"/>
    <cellStyle name="Vírgula" xfId="7" builtinId="3"/>
    <cellStyle name="Hiperlink" xfId="8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71436</colOff>
      <row>2</row>
      <rowOff>972</rowOff>
    </from>
    <to>
      <col>1</col>
      <colOff>1714500</colOff>
      <row>6</row>
      <rowOff>42485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284796" y="412452"/>
          <a:ext cx="1643064" cy="894953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3735</colOff>
      <row>1</row>
      <rowOff>76540</rowOff>
    </from>
    <to>
      <col>1</col>
      <colOff>1752797</colOff>
      <row>5</row>
      <rowOff>140690</rowOff>
    </to>
    <pic>
      <nvPicPr>
        <cNvPr id="58" name="Imagem 5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88780" y="161585"/>
          <a:ext cx="1749062" cy="863569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2:O21"/>
  <sheetViews>
    <sheetView showGridLines="0" zoomScale="80" zoomScaleNormal="80" workbookViewId="0">
      <pane xSplit="1" topLeftCell="B1" activePane="topRight" state="frozen"/>
      <selection pane="topRight" activeCell="D38" sqref="D38"/>
    </sheetView>
  </sheetViews>
  <sheetFormatPr baseColWidth="10" defaultColWidth="9.1640625" defaultRowHeight="15"/>
  <cols>
    <col width="3.1640625" customWidth="1" min="1" max="1"/>
    <col width="46.1640625" customWidth="1" min="2" max="2"/>
    <col width="18" customWidth="1" min="3" max="15"/>
  </cols>
  <sheetData>
    <row r="2" ht="15" customHeight="1">
      <c r="B2" s="223">
        <f>'Acomp. Resultados_2026'!B5:AA5</f>
        <v/>
      </c>
    </row>
    <row r="3" ht="7.5" customHeight="1"/>
    <row r="4" ht="12" customHeight="1"/>
    <row r="5" ht="22.5" customHeight="1">
      <c r="B5" s="242" t="inlineStr">
        <is>
          <t>Adições e Exclusões_2026</t>
        </is>
      </c>
    </row>
    <row r="6" ht="7.5" customHeight="1">
      <c r="B6" s="6" t="n"/>
      <c r="C6" s="6" t="n"/>
      <c r="D6" s="6" t="n"/>
      <c r="E6" s="6" t="n"/>
      <c r="F6" s="6" t="n"/>
    </row>
    <row r="7">
      <c r="B7" s="52" t="n"/>
      <c r="C7" s="52" t="inlineStr">
        <is>
          <t>JAN</t>
        </is>
      </c>
      <c r="D7" s="52" t="inlineStr">
        <is>
          <t>FEV</t>
        </is>
      </c>
      <c r="E7" s="52" t="inlineStr">
        <is>
          <t>MAR</t>
        </is>
      </c>
      <c r="F7" s="52" t="inlineStr">
        <is>
          <t>ABR</t>
        </is>
      </c>
      <c r="G7" s="52" t="inlineStr">
        <is>
          <t>MAI</t>
        </is>
      </c>
      <c r="H7" s="52" t="inlineStr">
        <is>
          <t>JUN</t>
        </is>
      </c>
      <c r="I7" s="52" t="inlineStr">
        <is>
          <t>JUL</t>
        </is>
      </c>
      <c r="J7" s="52" t="inlineStr">
        <is>
          <t>AGO</t>
        </is>
      </c>
      <c r="K7" s="52" t="inlineStr">
        <is>
          <t>SET</t>
        </is>
      </c>
      <c r="L7" s="52" t="inlineStr">
        <is>
          <t>OUT</t>
        </is>
      </c>
      <c r="M7" s="52" t="inlineStr">
        <is>
          <t>NOV</t>
        </is>
      </c>
      <c r="N7" s="52" t="inlineStr">
        <is>
          <t>DEZ</t>
        </is>
      </c>
      <c r="O7" s="53" t="inlineStr">
        <is>
          <t>ANUAL</t>
        </is>
      </c>
    </row>
    <row r="8" ht="6.75" customHeight="1">
      <c r="B8" s="54" t="n"/>
      <c r="C8" s="54" t="n"/>
      <c r="D8" s="54" t="n"/>
      <c r="E8" s="54" t="n"/>
      <c r="F8" s="54" t="n"/>
    </row>
    <row r="9">
      <c r="B9" s="55" t="inlineStr">
        <is>
          <t>ADIÇÕES (ACUMULADO)</t>
        </is>
      </c>
      <c r="C9" s="243" t="n"/>
      <c r="D9" s="243" t="n"/>
      <c r="E9" s="243" t="n"/>
      <c r="F9" s="243" t="n"/>
    </row>
    <row r="10" ht="16" customFormat="1" customHeight="1" s="1">
      <c r="A10" s="50" t="n">
        <v>6250</v>
      </c>
      <c r="B10" s="57" t="inlineStr">
        <is>
          <t>(+) Despesas Indedutíveis</t>
        </is>
      </c>
      <c r="C10" s="244" t="n">
        <v>0</v>
      </c>
      <c r="D10" s="244" t="n"/>
      <c r="E10" s="244" t="n"/>
      <c r="F10" s="244" t="n"/>
      <c r="G10" s="244" t="n"/>
      <c r="H10" s="244" t="n"/>
      <c r="I10" s="244" t="n"/>
      <c r="J10" s="244" t="n"/>
      <c r="K10" s="244" t="n"/>
      <c r="L10" s="244" t="n"/>
      <c r="M10" s="244" t="n"/>
      <c r="N10" s="244" t="n"/>
      <c r="O10" s="245">
        <f>SUM(C10:N10)</f>
        <v/>
      </c>
    </row>
    <row r="11" ht="16" customFormat="1" customHeight="1" s="1">
      <c r="A11" s="50" t="n">
        <v>6109</v>
      </c>
      <c r="B11" s="57" t="inlineStr">
        <is>
          <t>(+) Outros Gastos com Pessoal</t>
        </is>
      </c>
      <c r="C11" s="244" t="n">
        <v>0</v>
      </c>
      <c r="D11" s="244" t="n"/>
      <c r="E11" s="244" t="n"/>
      <c r="F11" s="244" t="n"/>
      <c r="G11" s="244" t="n"/>
      <c r="H11" s="244" t="n"/>
      <c r="I11" s="244" t="n"/>
      <c r="J11" s="244" t="n"/>
      <c r="K11" s="244" t="n"/>
      <c r="L11" s="244" t="n"/>
      <c r="M11" s="244" t="n"/>
      <c r="N11" s="244" t="n"/>
      <c r="O11" s="245">
        <f>SUM(C11:N11)</f>
        <v/>
      </c>
    </row>
    <row r="12" ht="16" customFormat="1" customHeight="1" s="1">
      <c r="A12" s="50" t="n">
        <v>3325</v>
      </c>
      <c r="B12" s="57" t="inlineStr">
        <is>
          <t>(+) Brindes</t>
        </is>
      </c>
      <c r="C12" s="244" t="n">
        <v>0</v>
      </c>
      <c r="D12" s="244" t="n"/>
      <c r="E12" s="244" t="n"/>
      <c r="F12" s="244" t="n"/>
      <c r="G12" s="244" t="n"/>
      <c r="H12" s="244" t="n"/>
      <c r="I12" s="244" t="n"/>
      <c r="J12" s="244" t="n"/>
      <c r="K12" s="244" t="n"/>
      <c r="L12" s="244" t="n"/>
      <c r="M12" s="244" t="n"/>
      <c r="N12" s="244" t="n"/>
      <c r="O12" s="245">
        <f>SUM(C12:N12)</f>
        <v/>
      </c>
    </row>
    <row r="13" ht="16" customFormat="1" customHeight="1" s="1">
      <c r="A13" s="50" t="n">
        <v>6257</v>
      </c>
      <c r="B13" s="57" t="inlineStr">
        <is>
          <t>(+) Multas Fiscais</t>
        </is>
      </c>
      <c r="C13" s="244" t="n">
        <v>0</v>
      </c>
      <c r="D13" s="244" t="n"/>
      <c r="E13" s="244" t="n"/>
      <c r="F13" s="244" t="n"/>
      <c r="G13" s="244" t="n"/>
      <c r="H13" s="244" t="n"/>
      <c r="I13" s="244" t="n"/>
      <c r="J13" s="244" t="n"/>
      <c r="K13" s="244" t="n"/>
      <c r="L13" s="244" t="n"/>
      <c r="M13" s="244" t="n"/>
      <c r="N13" s="244" t="n"/>
      <c r="O13" s="245">
        <f>SUM(C13:N13)</f>
        <v/>
      </c>
    </row>
    <row r="14" customFormat="1" s="1">
      <c r="A14" s="59" t="n">
        <v>6119</v>
      </c>
      <c r="B14" s="57" t="inlineStr">
        <is>
          <t>(+) Multas de Trânsito</t>
        </is>
      </c>
      <c r="C14" s="244" t="n">
        <v>0</v>
      </c>
      <c r="D14" s="244" t="n"/>
      <c r="E14" s="244" t="n"/>
      <c r="F14" s="244" t="n"/>
      <c r="G14" s="244" t="n"/>
      <c r="H14" s="244" t="n"/>
      <c r="I14" s="244" t="n"/>
      <c r="J14" s="244" t="n"/>
      <c r="K14" s="244" t="n"/>
      <c r="L14" s="244" t="n"/>
      <c r="M14" s="244" t="n"/>
      <c r="N14" s="244" t="n"/>
      <c r="O14" s="245">
        <f>SUM(C14:N14)</f>
        <v/>
      </c>
    </row>
    <row r="15" customFormat="1" s="1">
      <c r="B15" s="57" t="inlineStr">
        <is>
          <t>(+) Depreciação acelerada</t>
        </is>
      </c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5">
        <f>SUM(C15:N15)</f>
        <v/>
      </c>
    </row>
    <row r="16">
      <c r="B16" s="55" t="inlineStr">
        <is>
          <t>Total das adições (acumulado)</t>
        </is>
      </c>
      <c r="C16" s="246">
        <f>C10+C11+C13+C15</f>
        <v/>
      </c>
      <c r="D16" s="246">
        <f>D10+D11+D13+D15</f>
        <v/>
      </c>
      <c r="E16" s="246">
        <f>E10+E11+E13+E15</f>
        <v/>
      </c>
      <c r="F16" s="246">
        <f>SUM(F10:F15)</f>
        <v/>
      </c>
      <c r="G16" s="246">
        <f>SUM(G10:G15)</f>
        <v/>
      </c>
      <c r="H16" s="246">
        <f>SUM(H10:H15)</f>
        <v/>
      </c>
      <c r="I16" s="246">
        <f>SUM(I10:I15)</f>
        <v/>
      </c>
      <c r="J16" s="246">
        <f>SUM(J10:J15)</f>
        <v/>
      </c>
      <c r="K16" s="246">
        <f>SUM(K10:K15)</f>
        <v/>
      </c>
      <c r="L16" s="246">
        <f>SUM(L10:L15)</f>
        <v/>
      </c>
      <c r="M16" s="246">
        <f>SUM(M10:M15)</f>
        <v/>
      </c>
      <c r="N16" s="246">
        <f>SUM(N10:N15)</f>
        <v/>
      </c>
      <c r="O16" s="246">
        <f>SUM(O10:O15)</f>
        <v/>
      </c>
    </row>
    <row r="17">
      <c r="B17" s="55" t="n"/>
      <c r="C17" s="243" t="n"/>
      <c r="D17" s="243" t="n"/>
      <c r="E17" s="243" t="n"/>
      <c r="F17" s="243" t="n"/>
    </row>
    <row r="18">
      <c r="B18" s="55" t="inlineStr">
        <is>
          <t>EXCLUSÕES (ACUMULADO)</t>
        </is>
      </c>
      <c r="C18" s="243" t="n"/>
      <c r="D18" s="243" t="n"/>
      <c r="E18" s="243" t="n"/>
      <c r="F18" s="243" t="n"/>
    </row>
    <row r="19">
      <c r="B19" s="57" t="inlineStr">
        <is>
          <t>(-) Selic</t>
        </is>
      </c>
      <c r="C19" s="244" t="n">
        <v>0</v>
      </c>
      <c r="D19" s="244">
        <f>C19</f>
        <v/>
      </c>
      <c r="E19" s="244">
        <f>D19</f>
        <v/>
      </c>
      <c r="F19" s="244">
        <f>E19</f>
        <v/>
      </c>
      <c r="G19" s="244">
        <f>F19</f>
        <v/>
      </c>
      <c r="H19" s="244">
        <f>G19</f>
        <v/>
      </c>
      <c r="I19" s="244">
        <f>H19</f>
        <v/>
      </c>
      <c r="J19" s="244">
        <f>I19</f>
        <v/>
      </c>
      <c r="K19" s="244">
        <f>J19</f>
        <v/>
      </c>
      <c r="L19" s="244">
        <f>K19</f>
        <v/>
      </c>
      <c r="M19" s="244">
        <f>L19</f>
        <v/>
      </c>
      <c r="N19" s="244">
        <f>M19</f>
        <v/>
      </c>
      <c r="O19" s="245">
        <f>SUM(C19:N19)</f>
        <v/>
      </c>
    </row>
    <row r="20">
      <c r="B20" s="55" t="inlineStr">
        <is>
          <t>Total das exclusões (acumulado)</t>
        </is>
      </c>
      <c r="C20" s="246">
        <f>C19</f>
        <v/>
      </c>
      <c r="D20" s="246">
        <f>D19</f>
        <v/>
      </c>
      <c r="E20" s="246">
        <f>E19</f>
        <v/>
      </c>
      <c r="F20" s="246">
        <f>F19</f>
        <v/>
      </c>
      <c r="G20" s="246">
        <f>G19</f>
        <v/>
      </c>
      <c r="H20" s="246">
        <f>H19</f>
        <v/>
      </c>
      <c r="I20" s="246">
        <f>I19</f>
        <v/>
      </c>
      <c r="J20" s="246">
        <f>J19</f>
        <v/>
      </c>
      <c r="K20" s="246">
        <f>K19</f>
        <v/>
      </c>
      <c r="L20" s="246">
        <f>L19</f>
        <v/>
      </c>
      <c r="M20" s="246">
        <f>M19</f>
        <v/>
      </c>
      <c r="N20" s="246">
        <f>N19</f>
        <v/>
      </c>
      <c r="O20" s="246">
        <f>O19</f>
        <v/>
      </c>
    </row>
    <row r="21" ht="16" customHeight="1" thickBot="1">
      <c r="B21" s="61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</row>
    <row r="22" ht="16" customHeight="1" thickTop="1"/>
  </sheetData>
  <mergeCells count="2">
    <mergeCell ref="B2:O3"/>
    <mergeCell ref="B5:O5"/>
  </mergeCells>
  <pageMargins left="0.5118110236220472" right="0.5118110236220472" top="0.7874015748031497" bottom="0.7874015748031497" header="0.3149606299212598" footer="0.3149606299212598"/>
  <pageSetup orientation="landscape" paperSize="9" scale="55"/>
</worksheet>
</file>

<file path=xl/worksheets/sheet2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2:AG106"/>
  <sheetViews>
    <sheetView showGridLines="0" tabSelected="1" topLeftCell="A4" zoomScaleNormal="102" workbookViewId="0">
      <selection activeCell="C33" sqref="C33"/>
    </sheetView>
  </sheetViews>
  <sheetFormatPr baseColWidth="10" defaultColWidth="9.1640625" defaultRowHeight="16"/>
  <cols>
    <col width="3.1640625" customWidth="1" style="49" min="1" max="1"/>
    <col width="52.83203125" customWidth="1" style="9" min="2" max="2"/>
    <col width="19.6640625" customWidth="1" style="9" min="3" max="3"/>
    <col width="5.33203125" bestFit="1" customWidth="1" style="9" min="4" max="4"/>
    <col width="19.6640625" customWidth="1" style="9" min="5" max="5"/>
    <col width="5.33203125" bestFit="1" customWidth="1" style="9" min="6" max="6"/>
    <col width="18.83203125" customWidth="1" style="9" min="7" max="7"/>
    <col width="5.33203125" bestFit="1" customWidth="1" style="9" min="8" max="8"/>
    <col width="21.83203125" customWidth="1" style="9" min="9" max="9"/>
    <col width="5.33203125" bestFit="1" customWidth="1" style="9" min="10" max="10"/>
    <col width="18.83203125" customWidth="1" style="9" min="11" max="11"/>
    <col width="5.33203125" bestFit="1" customWidth="1" style="9" min="12" max="12"/>
    <col width="19.5" customWidth="1" style="9" min="13" max="13"/>
    <col width="5.33203125" bestFit="1" customWidth="1" style="9" min="14" max="14"/>
    <col width="18.83203125" customWidth="1" style="9" min="15" max="15"/>
    <col width="5.33203125" bestFit="1" customWidth="1" style="9" min="16" max="16"/>
    <col width="18.83203125" customWidth="1" style="9" min="17" max="17"/>
    <col width="5.33203125" bestFit="1" customWidth="1" style="9" min="18" max="18"/>
    <col width="18.83203125" customWidth="1" style="9" min="19" max="19"/>
    <col width="5.33203125" bestFit="1" customWidth="1" style="9" min="20" max="20"/>
    <col width="18.83203125" customWidth="1" style="9" min="21" max="21"/>
    <col width="6.5" bestFit="1" customWidth="1" style="9" min="22" max="22"/>
    <col width="18.83203125" customWidth="1" style="9" min="23" max="23"/>
    <col width="6.5" bestFit="1" customWidth="1" style="9" min="24" max="24"/>
    <col width="18.83203125" customWidth="1" style="9" min="25" max="25"/>
    <col width="6.5" bestFit="1" customWidth="1" style="9" min="26" max="26"/>
    <col width="20.1640625" bestFit="1" customWidth="1" style="9" min="27" max="27"/>
    <col width="6.5" bestFit="1" customWidth="1" style="9" min="28" max="28"/>
    <col width="5.83203125" customWidth="1" style="9" min="29" max="29"/>
    <col width="16.5" bestFit="1" customWidth="1" style="9" min="30" max="30"/>
    <col width="15.6640625" bestFit="1" customWidth="1" style="9" min="31" max="31"/>
    <col width="14.33203125" bestFit="1" customWidth="1" style="9" min="32" max="33"/>
    <col width="9.1640625" customWidth="1" style="9" min="34" max="16384"/>
  </cols>
  <sheetData>
    <row r="2">
      <c r="B2" s="220" t="n"/>
      <c r="AB2" s="220" t="n"/>
    </row>
    <row r="3" ht="15.75" customHeight="1">
      <c r="B3" s="221" t="inlineStr">
        <is>
          <t>ACOMPANHAMENTO DE RESULTADO CONTÁBIL_2026</t>
        </is>
      </c>
      <c r="AB3" s="221" t="n"/>
    </row>
    <row r="4" ht="15.75" customHeight="1">
      <c r="AB4" s="221" t="n"/>
    </row>
    <row r="5" ht="19" customHeight="1">
      <c r="B5" s="222" t="inlineStr">
        <is>
          <t>NOME DA EMPRESA</t>
        </is>
      </c>
      <c r="AB5" s="222" t="n"/>
    </row>
    <row r="6" ht="19" customHeight="1">
      <c r="B6" s="222" t="inlineStr">
        <is>
          <t>CNPJ DA EMPRESA:</t>
        </is>
      </c>
      <c r="AB6" s="222" t="n"/>
    </row>
    <row r="8">
      <c r="B8" s="216" t="inlineStr">
        <is>
          <t>ACOMPANHAMENTO DE RESULTADO_2026</t>
        </is>
      </c>
      <c r="C8" s="247" t="n"/>
      <c r="D8" s="247" t="n"/>
      <c r="E8" s="247" t="n"/>
      <c r="F8" s="247" t="n"/>
      <c r="G8" s="247" t="n"/>
      <c r="H8" s="247" t="n"/>
      <c r="I8" s="247" t="n"/>
      <c r="J8" s="247" t="n"/>
      <c r="K8" s="247" t="n"/>
      <c r="L8" s="247" t="n"/>
      <c r="M8" s="247" t="n"/>
      <c r="N8" s="247" t="n"/>
      <c r="O8" s="247" t="n"/>
      <c r="P8" s="247" t="n"/>
      <c r="Q8" s="247" t="n"/>
      <c r="R8" s="247" t="n"/>
      <c r="S8" s="247" t="n"/>
      <c r="T8" s="247" t="n"/>
      <c r="U8" s="247" t="n"/>
      <c r="V8" s="247" t="n"/>
      <c r="W8" s="247" t="n"/>
      <c r="X8" s="247" t="n"/>
      <c r="Y8" s="247" t="n"/>
      <c r="Z8" s="247" t="n"/>
      <c r="AA8" s="247" t="n"/>
      <c r="AB8" s="127" t="n"/>
    </row>
    <row r="9" ht="4.5" customFormat="1" customHeight="1" s="11">
      <c r="A9" s="10" t="n"/>
      <c r="B9" s="128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29" t="n"/>
    </row>
    <row r="10" ht="60" customFormat="1" customHeight="1" s="11">
      <c r="A10" s="10" t="n"/>
      <c r="B10" s="130" t="n"/>
      <c r="C10" s="20" t="n"/>
      <c r="D10" s="90" t="n"/>
      <c r="E10" s="20" t="n"/>
      <c r="F10" s="90" t="n"/>
      <c r="G10" s="21" t="n"/>
      <c r="H10" s="90" t="n"/>
      <c r="I10" s="21" t="n"/>
      <c r="J10" s="90" t="n"/>
      <c r="K10" s="21" t="n"/>
      <c r="L10" s="90" t="n"/>
      <c r="M10" s="21" t="n"/>
      <c r="N10" s="90" t="n"/>
      <c r="O10" s="21" t="n"/>
      <c r="P10" s="90" t="n"/>
      <c r="Q10" s="21" t="n"/>
      <c r="R10" s="90" t="n"/>
      <c r="S10" s="22" t="n"/>
      <c r="T10" s="90" t="n"/>
      <c r="U10" s="21" t="n"/>
      <c r="V10" s="90" t="n"/>
      <c r="W10" s="21" t="n"/>
      <c r="X10" s="90" t="n"/>
      <c r="Y10" s="22" t="n"/>
      <c r="Z10" s="90" t="n"/>
      <c r="AA10" s="21" t="n"/>
      <c r="AB10" s="131" t="n"/>
    </row>
    <row r="11" ht="4.5" customFormat="1" customHeight="1" s="11">
      <c r="A11" s="10" t="n"/>
      <c r="B11" s="128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29" t="n"/>
    </row>
    <row r="12" ht="15" customFormat="1" customHeight="1" s="2">
      <c r="A12" s="7" t="n"/>
      <c r="B12" s="132" t="n"/>
      <c r="C12" s="81" t="inlineStr">
        <is>
          <t>JAN</t>
        </is>
      </c>
      <c r="D12" s="81" t="inlineStr">
        <is>
          <t>%</t>
        </is>
      </c>
      <c r="E12" s="81" t="inlineStr">
        <is>
          <t>FEV</t>
        </is>
      </c>
      <c r="F12" s="81" t="inlineStr">
        <is>
          <t>%</t>
        </is>
      </c>
      <c r="G12" s="81" t="inlineStr">
        <is>
          <t>MAR</t>
        </is>
      </c>
      <c r="H12" s="81" t="inlineStr">
        <is>
          <t>%</t>
        </is>
      </c>
      <c r="I12" s="81" t="inlineStr">
        <is>
          <t>ABR</t>
        </is>
      </c>
      <c r="J12" s="81" t="inlineStr">
        <is>
          <t>%</t>
        </is>
      </c>
      <c r="K12" s="81" t="inlineStr">
        <is>
          <t>MAI</t>
        </is>
      </c>
      <c r="L12" s="81" t="inlineStr">
        <is>
          <t>%</t>
        </is>
      </c>
      <c r="M12" s="81" t="inlineStr">
        <is>
          <t>JUN</t>
        </is>
      </c>
      <c r="N12" s="81" t="inlineStr">
        <is>
          <t>%</t>
        </is>
      </c>
      <c r="O12" s="81" t="inlineStr">
        <is>
          <t>JUL</t>
        </is>
      </c>
      <c r="P12" s="81" t="inlineStr">
        <is>
          <t>%</t>
        </is>
      </c>
      <c r="Q12" s="81" t="inlineStr">
        <is>
          <t>AGO</t>
        </is>
      </c>
      <c r="R12" s="81" t="inlineStr">
        <is>
          <t>%</t>
        </is>
      </c>
      <c r="S12" s="81" t="inlineStr">
        <is>
          <t>SET</t>
        </is>
      </c>
      <c r="T12" s="81" t="inlineStr">
        <is>
          <t>%</t>
        </is>
      </c>
      <c r="U12" s="81" t="inlineStr">
        <is>
          <t>OUT</t>
        </is>
      </c>
      <c r="V12" s="81" t="inlineStr">
        <is>
          <t>%</t>
        </is>
      </c>
      <c r="W12" s="81" t="inlineStr">
        <is>
          <t>NOV</t>
        </is>
      </c>
      <c r="X12" s="81" t="inlineStr">
        <is>
          <t>%</t>
        </is>
      </c>
      <c r="Y12" s="81" t="inlineStr">
        <is>
          <t>DEZ</t>
        </is>
      </c>
      <c r="Z12" s="81" t="inlineStr">
        <is>
          <t>%</t>
        </is>
      </c>
      <c r="AA12" s="81" t="inlineStr">
        <is>
          <t>ANUAL</t>
        </is>
      </c>
      <c r="AB12" s="133" t="inlineStr">
        <is>
          <t>%</t>
        </is>
      </c>
    </row>
    <row r="13">
      <c r="A13" s="49" t="n">
        <v>994</v>
      </c>
      <c r="B13" s="134" t="inlineStr">
        <is>
          <t>(+) Receita de Venda de Mercadorias</t>
        </is>
      </c>
      <c r="C13" s="248" t="n">
        <v>4215360.4</v>
      </c>
      <c r="D13" s="248" t="n"/>
      <c r="E13" s="249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>
        <f>SUM(C13:Y13)</f>
        <v/>
      </c>
      <c r="AB13" s="135" t="n"/>
    </row>
    <row r="14">
      <c r="A14" s="49" t="n">
        <v>1022</v>
      </c>
      <c r="B14" s="134" t="inlineStr">
        <is>
          <t>(+) Receita de Venda de Produtos</t>
        </is>
      </c>
      <c r="C14" s="249" t="n">
        <v>0</v>
      </c>
      <c r="D14" s="249" t="n"/>
      <c r="E14" s="249" t="n"/>
      <c r="F14" s="249" t="n"/>
      <c r="G14" s="249" t="n"/>
      <c r="H14" s="249" t="n"/>
      <c r="I14" s="249" t="n"/>
      <c r="J14" s="249" t="n"/>
      <c r="K14" s="249" t="n"/>
      <c r="L14" s="249" t="n"/>
      <c r="M14" s="249" t="n"/>
      <c r="N14" s="249" t="n"/>
      <c r="O14" s="249" t="n"/>
      <c r="P14" s="249" t="n"/>
      <c r="Q14" s="249" t="n"/>
      <c r="R14" s="249" t="n"/>
      <c r="S14" s="249" t="n"/>
      <c r="T14" s="249" t="n"/>
      <c r="U14" s="249" t="n"/>
      <c r="V14" s="249" t="n"/>
      <c r="W14" s="249" t="n"/>
      <c r="X14" s="249" t="n"/>
      <c r="Y14" s="249" t="n"/>
      <c r="Z14" s="249" t="n"/>
      <c r="AA14" s="248">
        <f>SUM(C14:Y14)</f>
        <v/>
      </c>
      <c r="AB14" s="136" t="n"/>
    </row>
    <row r="15">
      <c r="A15" s="49" t="n">
        <v>1085</v>
      </c>
      <c r="B15" s="134" t="inlineStr">
        <is>
          <t>(+) Receita de Transportes</t>
        </is>
      </c>
      <c r="C15" s="249" t="n">
        <v>0</v>
      </c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9" t="n"/>
      <c r="O15" s="249" t="n"/>
      <c r="P15" s="249" t="n"/>
      <c r="Q15" s="249" t="n"/>
      <c r="R15" s="249" t="n"/>
      <c r="S15" s="249" t="n"/>
      <c r="T15" s="249" t="n"/>
      <c r="U15" s="249" t="n"/>
      <c r="V15" s="249" t="n"/>
      <c r="W15" s="249" t="n"/>
      <c r="X15" s="249" t="n"/>
      <c r="Y15" s="249" t="n"/>
      <c r="Z15" s="249" t="n"/>
      <c r="AA15" s="248">
        <f>SUM(C15:Y15)</f>
        <v/>
      </c>
      <c r="AB15" s="136" t="n"/>
      <c r="AC15" s="250" t="n"/>
    </row>
    <row r="16">
      <c r="A16" s="49" t="n">
        <v>1176</v>
      </c>
      <c r="B16" s="134" t="inlineStr">
        <is>
          <t>(+) Receita de Serviços</t>
        </is>
      </c>
      <c r="C16" s="249" t="n">
        <v>0</v>
      </c>
      <c r="D16" s="249" t="n"/>
      <c r="E16" s="249" t="n"/>
      <c r="F16" s="249" t="n"/>
      <c r="G16" s="249" t="n"/>
      <c r="H16" s="249" t="n"/>
      <c r="I16" s="249" t="n"/>
      <c r="J16" s="249" t="n"/>
      <c r="K16" s="249" t="n"/>
      <c r="L16" s="249" t="n"/>
      <c r="M16" s="249" t="n"/>
      <c r="N16" s="249" t="n"/>
      <c r="O16" s="249" t="n"/>
      <c r="P16" s="249" t="n"/>
      <c r="Q16" s="249" t="n"/>
      <c r="R16" s="249" t="n"/>
      <c r="S16" s="249" t="n"/>
      <c r="T16" s="249" t="n"/>
      <c r="U16" s="249" t="n"/>
      <c r="V16" s="249" t="n"/>
      <c r="W16" s="249" t="n"/>
      <c r="X16" s="249" t="n"/>
      <c r="Y16" s="249" t="n"/>
      <c r="Z16" s="249" t="n"/>
      <c r="AA16" s="248">
        <f>SUM(C16:Y16)</f>
        <v/>
      </c>
      <c r="AB16" s="136" t="n"/>
    </row>
    <row r="17">
      <c r="A17" s="49" t="n">
        <v>5139</v>
      </c>
      <c r="B17" s="134" t="inlineStr">
        <is>
          <t>(+) Receita de Locação</t>
        </is>
      </c>
      <c r="C17" s="249" t="n">
        <v>0</v>
      </c>
      <c r="D17" s="249" t="n"/>
      <c r="E17" s="249" t="n"/>
      <c r="F17" s="249" t="n"/>
      <c r="G17" s="249" t="n"/>
      <c r="H17" s="249" t="n"/>
      <c r="I17" s="249" t="n"/>
      <c r="J17" s="249" t="n"/>
      <c r="K17" s="249" t="n"/>
      <c r="L17" s="249" t="n"/>
      <c r="M17" s="249" t="n"/>
      <c r="N17" s="249" t="n"/>
      <c r="O17" s="249" t="n"/>
      <c r="P17" s="249" t="n"/>
      <c r="Q17" s="249" t="n"/>
      <c r="R17" s="249" t="n"/>
      <c r="S17" s="249" t="n"/>
      <c r="T17" s="249" t="n"/>
      <c r="U17" s="249" t="n"/>
      <c r="V17" s="249" t="n"/>
      <c r="W17" s="249" t="n"/>
      <c r="X17" s="249" t="n"/>
      <c r="Y17" s="249" t="n"/>
      <c r="Z17" s="249" t="n"/>
      <c r="AA17" s="248">
        <f>SUM(C17:Y17)</f>
        <v/>
      </c>
      <c r="AB17" s="136" t="n"/>
    </row>
    <row r="18">
      <c r="A18" s="49" t="n">
        <v>1197</v>
      </c>
      <c r="B18" s="134" t="inlineStr">
        <is>
          <t>(+) Receita Financeira</t>
        </is>
      </c>
      <c r="C18" s="249" t="n">
        <v>0</v>
      </c>
      <c r="D18" s="249" t="n"/>
      <c r="E18" s="249" t="n"/>
      <c r="F18" s="249" t="n"/>
      <c r="G18" s="249" t="n"/>
      <c r="H18" s="249" t="n"/>
      <c r="I18" s="249" t="n"/>
      <c r="J18" s="249" t="n"/>
      <c r="K18" s="249" t="n"/>
      <c r="L18" s="249" t="n"/>
      <c r="M18" s="249" t="n"/>
      <c r="N18" s="249" t="n"/>
      <c r="O18" s="249" t="n"/>
      <c r="P18" s="249" t="n"/>
      <c r="Q18" s="249" t="n"/>
      <c r="R18" s="249" t="n"/>
      <c r="S18" s="249" t="n"/>
      <c r="T18" s="249" t="n"/>
      <c r="U18" s="249" t="n"/>
      <c r="V18" s="249" t="n"/>
      <c r="W18" s="249" t="n"/>
      <c r="X18" s="249" t="n"/>
      <c r="Y18" s="249" t="n"/>
      <c r="Z18" s="249" t="n"/>
      <c r="AA18" s="248">
        <f>SUM(C18:Y18)</f>
        <v/>
      </c>
      <c r="AB18" s="136" t="n"/>
    </row>
    <row r="19">
      <c r="A19" s="49" t="n">
        <v>3276</v>
      </c>
      <c r="B19" s="134" t="inlineStr">
        <is>
          <t>(+) Receita de venda de Bens Imóveis</t>
        </is>
      </c>
      <c r="C19" s="249" t="n">
        <v>0</v>
      </c>
      <c r="D19" s="249" t="n"/>
      <c r="E19" s="249" t="n"/>
      <c r="F19" s="249" t="n"/>
      <c r="G19" s="249" t="n"/>
      <c r="H19" s="249" t="n"/>
      <c r="I19" s="249" t="n"/>
      <c r="J19" s="249" t="n"/>
      <c r="K19" s="249" t="n"/>
      <c r="L19" s="249" t="n"/>
      <c r="M19" s="249" t="n"/>
      <c r="N19" s="249" t="n"/>
      <c r="O19" s="249" t="n"/>
      <c r="P19" s="249" t="n"/>
      <c r="Q19" s="249" t="n"/>
      <c r="R19" s="249" t="n"/>
      <c r="S19" s="249" t="n"/>
      <c r="T19" s="249" t="n"/>
      <c r="U19" s="249" t="n"/>
      <c r="V19" s="249" t="n"/>
      <c r="W19" s="249" t="n"/>
      <c r="X19" s="249" t="n"/>
      <c r="Y19" s="249" t="n"/>
      <c r="Z19" s="249" t="n"/>
      <c r="AA19" s="248">
        <f>SUM(C19:Y19)</f>
        <v/>
      </c>
      <c r="AB19" s="136" t="n"/>
    </row>
    <row r="20">
      <c r="B20" s="134" t="inlineStr">
        <is>
          <t>(+) Demais receitas com vendas</t>
        </is>
      </c>
      <c r="C20" s="249" t="n">
        <v>0</v>
      </c>
      <c r="D20" s="249" t="n"/>
      <c r="E20" s="249" t="n"/>
      <c r="F20" s="249" t="n"/>
      <c r="G20" s="249" t="n"/>
      <c r="H20" s="249" t="n"/>
      <c r="I20" s="249" t="n"/>
      <c r="J20" s="249" t="n"/>
      <c r="K20" s="249" t="n"/>
      <c r="L20" s="249" t="n"/>
      <c r="M20" s="249" t="n"/>
      <c r="N20" s="249" t="n"/>
      <c r="O20" s="249" t="n"/>
      <c r="P20" s="249" t="n"/>
      <c r="Q20" s="249" t="n"/>
      <c r="R20" s="249" t="n"/>
      <c r="S20" s="249" t="n"/>
      <c r="T20" s="249" t="n"/>
      <c r="U20" s="249" t="n"/>
      <c r="V20" s="249" t="n"/>
      <c r="W20" s="249" t="n"/>
      <c r="X20" s="249" t="n"/>
      <c r="Y20" s="249" t="n"/>
      <c r="Z20" s="249" t="n"/>
      <c r="AA20" s="248">
        <f>SUM(C20:Y20)</f>
        <v/>
      </c>
      <c r="AB20" s="136" t="n"/>
    </row>
    <row r="21">
      <c r="B21" s="134" t="inlineStr">
        <is>
          <t>(+) Receita de Exportação de Produtos</t>
        </is>
      </c>
      <c r="C21" s="249" t="n">
        <v>0</v>
      </c>
      <c r="D21" s="249" t="n"/>
      <c r="E21" s="249" t="n"/>
      <c r="F21" s="249" t="n"/>
      <c r="G21" s="249" t="n"/>
      <c r="H21" s="249" t="n"/>
      <c r="I21" s="249" t="n"/>
      <c r="J21" s="249" t="n"/>
      <c r="K21" s="249" t="n"/>
      <c r="L21" s="249" t="n"/>
      <c r="M21" s="249" t="n"/>
      <c r="N21" s="249" t="n"/>
      <c r="O21" s="249" t="n"/>
      <c r="P21" s="249" t="n"/>
      <c r="Q21" s="249" t="n"/>
      <c r="R21" s="249" t="n"/>
      <c r="S21" s="249" t="n"/>
      <c r="T21" s="249" t="n"/>
      <c r="U21" s="249" t="n"/>
      <c r="V21" s="249" t="n"/>
      <c r="W21" s="249" t="n"/>
      <c r="X21" s="249" t="n"/>
      <c r="Y21" s="249" t="n"/>
      <c r="Z21" s="249" t="n"/>
      <c r="AA21" s="248">
        <f>SUM(C21:Y21)</f>
        <v/>
      </c>
      <c r="AB21" s="136" t="n"/>
    </row>
    <row r="22">
      <c r="B22" s="134" t="inlineStr">
        <is>
          <t>(+) Receita de Exportação de Mercadoria</t>
        </is>
      </c>
      <c r="C22" s="249" t="n">
        <v>0</v>
      </c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249" t="n"/>
      <c r="M22" s="249" t="n"/>
      <c r="N22" s="249" t="n"/>
      <c r="O22" s="249" t="n"/>
      <c r="P22" s="249" t="n"/>
      <c r="Q22" s="249" t="n"/>
      <c r="R22" s="249" t="n"/>
      <c r="S22" s="249" t="n"/>
      <c r="T22" s="249" t="n"/>
      <c r="U22" s="249" t="n"/>
      <c r="V22" s="249" t="n"/>
      <c r="W22" s="249" t="n"/>
      <c r="X22" s="249" t="n"/>
      <c r="Y22" s="249" t="n"/>
      <c r="Z22" s="249" t="n"/>
      <c r="AA22" s="248">
        <f>SUM(C22:Y22)</f>
        <v/>
      </c>
      <c r="AB22" s="136" t="n"/>
    </row>
    <row r="23">
      <c r="B23" s="134" t="inlineStr">
        <is>
          <t>(+) Receita de Cartulas</t>
        </is>
      </c>
      <c r="C23" s="249" t="n">
        <v>0</v>
      </c>
      <c r="D23" s="249" t="n"/>
      <c r="E23" s="249" t="n"/>
      <c r="F23" s="249" t="n"/>
      <c r="G23" s="249" t="n"/>
      <c r="H23" s="249" t="n"/>
      <c r="I23" s="249" t="n"/>
      <c r="J23" s="249" t="n"/>
      <c r="K23" s="249" t="n"/>
      <c r="L23" s="249" t="n"/>
      <c r="M23" s="249" t="n"/>
      <c r="N23" s="249" t="n"/>
      <c r="O23" s="249" t="n"/>
      <c r="P23" s="249" t="n"/>
      <c r="Q23" s="249" t="n"/>
      <c r="R23" s="249" t="n"/>
      <c r="S23" s="249" t="n"/>
      <c r="T23" s="249" t="n"/>
      <c r="U23" s="249" t="n"/>
      <c r="V23" s="249" t="n"/>
      <c r="W23" s="249" t="n"/>
      <c r="X23" s="249" t="n"/>
      <c r="Y23" s="249" t="n"/>
      <c r="Z23" s="249" t="n"/>
      <c r="AA23" s="248">
        <f>SUM(C23:Y23)</f>
        <v/>
      </c>
      <c r="AB23" s="136" t="n"/>
    </row>
    <row r="24">
      <c r="B24" s="134" t="inlineStr">
        <is>
          <t>(-) Devoluções</t>
        </is>
      </c>
      <c r="C24" s="249" t="n">
        <v>-67568.14999999999</v>
      </c>
      <c r="D24" s="249" t="n"/>
      <c r="E24" s="249" t="n"/>
      <c r="F24" s="249" t="n"/>
      <c r="G24" s="249" t="n"/>
      <c r="H24" s="249" t="n"/>
      <c r="I24" s="249" t="n"/>
      <c r="J24" s="249" t="n"/>
      <c r="K24" s="249" t="n"/>
      <c r="L24" s="249" t="n"/>
      <c r="M24" s="249" t="n"/>
      <c r="N24" s="249" t="n"/>
      <c r="O24" s="249" t="n"/>
      <c r="P24" s="249" t="n"/>
      <c r="Q24" s="249" t="n"/>
      <c r="R24" s="249" t="n"/>
      <c r="S24" s="249" t="n"/>
      <c r="T24" s="249" t="n"/>
      <c r="U24" s="249" t="n"/>
      <c r="V24" s="249" t="n"/>
      <c r="W24" s="249" t="n"/>
      <c r="X24" s="249" t="n"/>
      <c r="Y24" s="249" t="n"/>
      <c r="Z24" s="249" t="n"/>
      <c r="AA24" s="248">
        <f>SUM(C24:Y24)</f>
        <v/>
      </c>
      <c r="AB24" s="251" t="n"/>
    </row>
    <row r="25" ht="15" customHeight="1">
      <c r="A25" s="75" t="n"/>
      <c r="B25" s="138" t="inlineStr">
        <is>
          <t>Receita Líquida</t>
        </is>
      </c>
      <c r="C25" s="252">
        <f>SUM(C13:C24)</f>
        <v/>
      </c>
      <c r="D25" s="252" t="n"/>
      <c r="E25" s="252">
        <f>SUM(E13:E24)</f>
        <v/>
      </c>
      <c r="F25" s="252" t="n"/>
      <c r="G25" s="252">
        <f>SUM(G13:G24)</f>
        <v/>
      </c>
      <c r="H25" s="252" t="n"/>
      <c r="I25" s="252">
        <f>SUM(I13:I24)</f>
        <v/>
      </c>
      <c r="J25" s="252" t="n"/>
      <c r="K25" s="252">
        <f>SUM(K13:K24)</f>
        <v/>
      </c>
      <c r="L25" s="252" t="n"/>
      <c r="M25" s="252">
        <f>SUM(M13:M24)</f>
        <v/>
      </c>
      <c r="N25" s="252" t="n"/>
      <c r="O25" s="252">
        <f>SUM(O13:O24)</f>
        <v/>
      </c>
      <c r="P25" s="252" t="n"/>
      <c r="Q25" s="252">
        <f>SUM(Q13:Q24)</f>
        <v/>
      </c>
      <c r="R25" s="252" t="n"/>
      <c r="S25" s="252">
        <f>SUM(S13:S24)</f>
        <v/>
      </c>
      <c r="T25" s="252" t="n"/>
      <c r="U25" s="252">
        <f>SUM(U13:U24)</f>
        <v/>
      </c>
      <c r="V25" s="252" t="n"/>
      <c r="W25" s="252">
        <f>SUM(W13:W24)</f>
        <v/>
      </c>
      <c r="X25" s="252" t="n"/>
      <c r="Y25" s="252">
        <f>SUM(Y13:Y24)</f>
        <v/>
      </c>
      <c r="Z25" s="252" t="n"/>
      <c r="AA25" s="252">
        <f>SUM(AA13:AA24)</f>
        <v/>
      </c>
      <c r="AB25" s="253" t="n"/>
      <c r="AC25" s="254" t="n"/>
    </row>
    <row r="26">
      <c r="B26" s="140" t="n"/>
      <c r="C26" s="255" t="n"/>
      <c r="D26" s="255" t="n"/>
      <c r="E26" s="255" t="n"/>
      <c r="F26" s="255" t="n"/>
      <c r="G26" s="255" t="n"/>
      <c r="H26" s="255" t="n"/>
      <c r="I26" s="255" t="n"/>
      <c r="J26" s="255" t="n"/>
      <c r="K26" s="255" t="n"/>
      <c r="L26" s="255" t="n"/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6" t="n"/>
    </row>
    <row r="27" ht="15" customHeight="1">
      <c r="A27" s="75" t="n"/>
      <c r="B27" s="134" t="inlineStr">
        <is>
          <t>(-) Outras  Deduções</t>
        </is>
      </c>
      <c r="C27" s="257" t="n">
        <v>-1040345.44</v>
      </c>
      <c r="D27" s="91">
        <f>IFERROR((C27/C25),0)</f>
        <v/>
      </c>
      <c r="E27" s="257" t="n"/>
      <c r="F27" s="91">
        <f>IFERROR((E27/E25),0)</f>
        <v/>
      </c>
      <c r="G27" s="257" t="n"/>
      <c r="H27" s="91">
        <f>IFERROR((G27/G25),0)</f>
        <v/>
      </c>
      <c r="I27" s="257" t="n"/>
      <c r="J27" s="91">
        <f>IFERROR((I27/I25),0)</f>
        <v/>
      </c>
      <c r="K27" s="257" t="n"/>
      <c r="L27" s="91">
        <f>IFERROR((K27/K25),0)</f>
        <v/>
      </c>
      <c r="M27" s="257" t="n"/>
      <c r="N27" s="91">
        <f>IFERROR((M27/M25),0)</f>
        <v/>
      </c>
      <c r="O27" s="257" t="n"/>
      <c r="P27" s="91">
        <f>IFERROR((O27/O25),0)</f>
        <v/>
      </c>
      <c r="Q27" s="257" t="n"/>
      <c r="R27" s="91">
        <f>IFERROR((Q27/Q25),0)</f>
        <v/>
      </c>
      <c r="S27" s="257" t="n"/>
      <c r="T27" s="91">
        <f>IFERROR((S27/S25),0)</f>
        <v/>
      </c>
      <c r="U27" s="257" t="n"/>
      <c r="V27" s="91">
        <f>IFERROR((U27/U25),0)</f>
        <v/>
      </c>
      <c r="W27" s="257" t="n"/>
      <c r="X27" s="91">
        <f>IFERROR((W27/W25),0)</f>
        <v/>
      </c>
      <c r="Y27" s="257" t="n"/>
      <c r="Z27" s="91">
        <f>IFERROR((Y27/Y25),0)</f>
        <v/>
      </c>
      <c r="AA27" s="248">
        <f>SUM(C27:Y27)</f>
        <v/>
      </c>
      <c r="AB27" s="142">
        <f>IFERROR((AA27/AA25),0)</f>
        <v/>
      </c>
    </row>
    <row r="28" ht="15" customHeight="1">
      <c r="A28" s="75" t="n"/>
      <c r="B28" s="138" t="inlineStr">
        <is>
          <t>Outras Deduções da Receita</t>
        </is>
      </c>
      <c r="C28" s="252">
        <f>C27</f>
        <v/>
      </c>
      <c r="D28" s="92" t="n"/>
      <c r="E28" s="252">
        <f>E27</f>
        <v/>
      </c>
      <c r="F28" s="92" t="n"/>
      <c r="G28" s="252">
        <f>G27</f>
        <v/>
      </c>
      <c r="H28" s="92" t="n"/>
      <c r="I28" s="252">
        <f>I27</f>
        <v/>
      </c>
      <c r="J28" s="92" t="n"/>
      <c r="K28" s="252">
        <f>K27</f>
        <v/>
      </c>
      <c r="L28" s="92" t="n"/>
      <c r="M28" s="252">
        <f>M27</f>
        <v/>
      </c>
      <c r="N28" s="92" t="n"/>
      <c r="O28" s="252">
        <f>O27</f>
        <v/>
      </c>
      <c r="P28" s="92" t="n"/>
      <c r="Q28" s="252">
        <f>Q27</f>
        <v/>
      </c>
      <c r="R28" s="92" t="n"/>
      <c r="S28" s="252">
        <f>S27</f>
        <v/>
      </c>
      <c r="T28" s="92" t="n"/>
      <c r="U28" s="252">
        <f>U27</f>
        <v/>
      </c>
      <c r="V28" s="92" t="n"/>
      <c r="W28" s="252">
        <f>W27</f>
        <v/>
      </c>
      <c r="X28" s="92" t="n"/>
      <c r="Y28" s="252">
        <f>Y27</f>
        <v/>
      </c>
      <c r="Z28" s="92" t="n"/>
      <c r="AA28" s="252">
        <f>AA27</f>
        <v/>
      </c>
      <c r="AB28" s="143" t="n"/>
      <c r="AC28" s="254" t="n"/>
    </row>
    <row r="29">
      <c r="B29" s="144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8" t="n"/>
      <c r="M29" s="258" t="n"/>
      <c r="N29" s="25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8" t="n"/>
      <c r="Y29" s="258" t="n"/>
      <c r="Z29" s="258" t="n"/>
      <c r="AA29" s="259" t="n"/>
      <c r="AB29" s="260" t="n"/>
    </row>
    <row r="30" ht="15" customFormat="1" customHeight="1" s="48">
      <c r="B30" s="146" t="inlineStr">
        <is>
          <t>(+) Incentivos Fiscais</t>
        </is>
      </c>
      <c r="C30" s="261" t="n">
        <v>0</v>
      </c>
      <c r="D30" s="261" t="n"/>
      <c r="E30" s="261" t="n"/>
      <c r="F30" s="261" t="n"/>
      <c r="G30" s="261" t="n"/>
      <c r="H30" s="261" t="n"/>
      <c r="I30" s="261" t="n"/>
      <c r="J30" s="261" t="n"/>
      <c r="K30" s="261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 t="n"/>
      <c r="U30" s="261" t="n"/>
      <c r="V30" s="261" t="n"/>
      <c r="W30" s="261" t="n"/>
      <c r="X30" s="261" t="n"/>
      <c r="Y30" s="261" t="n"/>
      <c r="Z30" s="261" t="n"/>
      <c r="AA30" s="248">
        <f>SUM(C30:Y30)</f>
        <v/>
      </c>
      <c r="AB30" s="262" t="n"/>
    </row>
    <row r="31" ht="15" customHeight="1">
      <c r="A31" s="75" t="n"/>
      <c r="B31" s="138" t="inlineStr">
        <is>
          <t>Incentivos Fiscais</t>
        </is>
      </c>
      <c r="C31" s="252">
        <f>C30</f>
        <v/>
      </c>
      <c r="D31" s="252" t="n"/>
      <c r="E31" s="252">
        <f>E30</f>
        <v/>
      </c>
      <c r="F31" s="252" t="n"/>
      <c r="G31" s="252">
        <f>G30</f>
        <v/>
      </c>
      <c r="H31" s="252" t="n"/>
      <c r="I31" s="252">
        <f>I30</f>
        <v/>
      </c>
      <c r="J31" s="252" t="n"/>
      <c r="K31" s="252">
        <f>K30</f>
        <v/>
      </c>
      <c r="L31" s="252" t="n"/>
      <c r="M31" s="252">
        <f>M30</f>
        <v/>
      </c>
      <c r="N31" s="252" t="n"/>
      <c r="O31" s="252">
        <f>O30</f>
        <v/>
      </c>
      <c r="P31" s="252" t="n"/>
      <c r="Q31" s="252">
        <f>Q30</f>
        <v/>
      </c>
      <c r="R31" s="252" t="n"/>
      <c r="S31" s="252">
        <f>S30</f>
        <v/>
      </c>
      <c r="T31" s="252" t="n"/>
      <c r="U31" s="252">
        <f>U30</f>
        <v/>
      </c>
      <c r="V31" s="252" t="n"/>
      <c r="W31" s="252">
        <f>W30</f>
        <v/>
      </c>
      <c r="X31" s="252" t="n"/>
      <c r="Y31" s="252">
        <f>Y30</f>
        <v/>
      </c>
      <c r="Z31" s="252" t="n"/>
      <c r="AA31" s="252">
        <f>AA30</f>
        <v/>
      </c>
      <c r="AB31" s="253" t="n"/>
      <c r="AC31" s="254" t="n"/>
    </row>
    <row r="32">
      <c r="B32" s="144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8" t="n"/>
      <c r="M32" s="258" t="n"/>
      <c r="N32" s="25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8" t="n"/>
      <c r="Y32" s="258" t="n"/>
      <c r="Z32" s="258" t="n"/>
      <c r="AA32" s="259" t="n"/>
      <c r="AB32" s="260" t="n"/>
    </row>
    <row r="33" ht="15" customHeight="1">
      <c r="A33" s="75" t="n"/>
      <c r="B33" s="134" t="inlineStr">
        <is>
          <t>(-) CMV</t>
        </is>
      </c>
      <c r="C33" s="261" t="n">
        <v>-2559216.24</v>
      </c>
      <c r="D33" s="91">
        <f>IFERROR((C33/C25),0)</f>
        <v/>
      </c>
      <c r="E33" s="261" t="n"/>
      <c r="F33" s="91">
        <f>IFERROR((E33/E25),0)</f>
        <v/>
      </c>
      <c r="G33" s="261" t="n"/>
      <c r="H33" s="91">
        <f>IFERROR((G33/G25),0)</f>
        <v/>
      </c>
      <c r="I33" s="261" t="n"/>
      <c r="J33" s="91">
        <f>IFERROR((I33/I25),0)</f>
        <v/>
      </c>
      <c r="K33" s="261" t="n"/>
      <c r="L33" s="91">
        <f>IFERROR((K33/K25),0)</f>
        <v/>
      </c>
      <c r="M33" s="261" t="n"/>
      <c r="N33" s="91">
        <f>IFERROR((M33/M25),0)</f>
        <v/>
      </c>
      <c r="O33" s="261" t="n"/>
      <c r="P33" s="91">
        <f>IFERROR((O33/O25),0)</f>
        <v/>
      </c>
      <c r="Q33" s="261" t="n"/>
      <c r="R33" s="91">
        <f>IFERROR((Q33/Q25),0)</f>
        <v/>
      </c>
      <c r="S33" s="261" t="n"/>
      <c r="T33" s="91">
        <f>IFERROR((S33/S25),0)</f>
        <v/>
      </c>
      <c r="U33" s="261" t="n"/>
      <c r="V33" s="91">
        <f>IFERROR((U33/U25),0)</f>
        <v/>
      </c>
      <c r="W33" s="261" t="n"/>
      <c r="X33" s="91">
        <f>IFERROR((W33/W25),0)</f>
        <v/>
      </c>
      <c r="Y33" s="261" t="n"/>
      <c r="Z33" s="91">
        <f>IFERROR((Y33/Y25),0)</f>
        <v/>
      </c>
      <c r="AA33" s="248">
        <f>SUM(C33:Y33)</f>
        <v/>
      </c>
      <c r="AB33" s="142">
        <f>IFERROR((AA33/AA25),0)</f>
        <v/>
      </c>
    </row>
    <row r="34" ht="15" customHeight="1">
      <c r="A34" s="75" t="n"/>
      <c r="B34" s="134" t="inlineStr">
        <is>
          <t>(-)  CPV</t>
        </is>
      </c>
      <c r="C34" s="261" t="n">
        <v>0</v>
      </c>
      <c r="D34" s="91">
        <f>IFERROR((C34/C25),0)</f>
        <v/>
      </c>
      <c r="E34" s="261" t="n"/>
      <c r="F34" s="91">
        <f>IFERROR((E34/E25),0)</f>
        <v/>
      </c>
      <c r="G34" s="261" t="n"/>
      <c r="H34" s="91">
        <f>IFERROR((G34/G25),0)</f>
        <v/>
      </c>
      <c r="I34" s="261" t="n"/>
      <c r="J34" s="91">
        <f>IFERROR((I34/I25),0)</f>
        <v/>
      </c>
      <c r="K34" s="261" t="n"/>
      <c r="L34" s="91">
        <f>IFERROR((K34/K25),0)</f>
        <v/>
      </c>
      <c r="M34" s="261" t="n"/>
      <c r="N34" s="91">
        <f>IFERROR((M34/M25),0)</f>
        <v/>
      </c>
      <c r="O34" s="261" t="n"/>
      <c r="P34" s="91">
        <f>IFERROR((O34/O25),0)</f>
        <v/>
      </c>
      <c r="Q34" s="261" t="n"/>
      <c r="R34" s="91">
        <f>IFERROR((Q34/Q25),0)</f>
        <v/>
      </c>
      <c r="S34" s="261" t="n"/>
      <c r="T34" s="91">
        <f>IFERROR((S34/S25),0)</f>
        <v/>
      </c>
      <c r="U34" s="261" t="n"/>
      <c r="V34" s="91">
        <f>IFERROR((U34/U25),0)</f>
        <v/>
      </c>
      <c r="W34" s="261" t="n"/>
      <c r="X34" s="91">
        <f>IFERROR((W34/W25),0)</f>
        <v/>
      </c>
      <c r="Y34" s="261" t="n"/>
      <c r="Z34" s="91">
        <f>IFERROR((Y34/Y25),0)</f>
        <v/>
      </c>
      <c r="AA34" s="248">
        <f>SUM(C34:Y34)</f>
        <v/>
      </c>
      <c r="AB34" s="142">
        <f>IFERROR((AA34/AA25),0)</f>
        <v/>
      </c>
    </row>
    <row r="35" ht="15" customHeight="1">
      <c r="A35" s="75" t="n"/>
      <c r="B35" s="134" t="inlineStr">
        <is>
          <t>(-)   CSP</t>
        </is>
      </c>
      <c r="C35" s="261" t="n">
        <v>0</v>
      </c>
      <c r="D35" s="91">
        <f>IFERROR((C35/C25),0)</f>
        <v/>
      </c>
      <c r="E35" s="261" t="n"/>
      <c r="F35" s="91">
        <f>IFERROR((E35/E25),0)</f>
        <v/>
      </c>
      <c r="G35" s="261" t="n"/>
      <c r="H35" s="91">
        <f>IFERROR((G35/G25),0)</f>
        <v/>
      </c>
      <c r="I35" s="261" t="n"/>
      <c r="J35" s="91">
        <f>IFERROR((I35/I25),0)</f>
        <v/>
      </c>
      <c r="K35" s="261" t="n"/>
      <c r="L35" s="91">
        <f>IFERROR((K35/K25),0)</f>
        <v/>
      </c>
      <c r="M35" s="261" t="n"/>
      <c r="N35" s="91">
        <f>IFERROR((M35/M25),0)</f>
        <v/>
      </c>
      <c r="O35" s="261" t="n"/>
      <c r="P35" s="91">
        <f>IFERROR((O35/O25),0)</f>
        <v/>
      </c>
      <c r="Q35" s="261" t="n"/>
      <c r="R35" s="91">
        <f>IFERROR((Q35/Q25),0)</f>
        <v/>
      </c>
      <c r="S35" s="261" t="n"/>
      <c r="T35" s="91">
        <f>IFERROR((S35/S25),0)</f>
        <v/>
      </c>
      <c r="U35" s="261" t="n"/>
      <c r="V35" s="91">
        <f>IFERROR((U35/U25),0)</f>
        <v/>
      </c>
      <c r="W35" s="261" t="n"/>
      <c r="X35" s="91">
        <f>IFERROR((W35/W25),0)</f>
        <v/>
      </c>
      <c r="Y35" s="261" t="n"/>
      <c r="Z35" s="91">
        <f>IFERROR((Y35/Y25),0)</f>
        <v/>
      </c>
      <c r="AA35" s="248">
        <f>SUM(C35:Y35)</f>
        <v/>
      </c>
      <c r="AB35" s="142">
        <f>IFERROR((AA35/AA25),0)</f>
        <v/>
      </c>
    </row>
    <row r="36" ht="15" customHeight="1">
      <c r="A36" s="75" t="n"/>
      <c r="B36" s="134" t="inlineStr">
        <is>
          <t>(-)   Custos com Produção</t>
        </is>
      </c>
      <c r="C36" s="261" t="n">
        <v>0</v>
      </c>
      <c r="D36" s="91">
        <f>IFERROR((C36/C25),0)</f>
        <v/>
      </c>
      <c r="E36" s="261" t="n"/>
      <c r="F36" s="91">
        <f>IFERROR((E36/E25),0)</f>
        <v/>
      </c>
      <c r="G36" s="261" t="n"/>
      <c r="H36" s="91">
        <f>IFERROR((G36/G25),0)</f>
        <v/>
      </c>
      <c r="I36" s="261" t="n"/>
      <c r="J36" s="91">
        <f>IFERROR((I36/I25),0)</f>
        <v/>
      </c>
      <c r="K36" s="261" t="n"/>
      <c r="L36" s="91">
        <f>IFERROR((K36/K25),0)</f>
        <v/>
      </c>
      <c r="M36" s="261" t="n"/>
      <c r="N36" s="91">
        <f>IFERROR((M36/M25),0)</f>
        <v/>
      </c>
      <c r="O36" s="261" t="n"/>
      <c r="P36" s="91">
        <f>IFERROR((O36/O25),0)</f>
        <v/>
      </c>
      <c r="Q36" s="261" t="n"/>
      <c r="R36" s="91">
        <f>IFERROR((Q36/Q25),0)</f>
        <v/>
      </c>
      <c r="S36" s="261" t="n"/>
      <c r="T36" s="91">
        <f>IFERROR((S36/S25),0)</f>
        <v/>
      </c>
      <c r="U36" s="261" t="n"/>
      <c r="V36" s="91">
        <f>IFERROR((U36/U25),0)</f>
        <v/>
      </c>
      <c r="W36" s="261" t="n"/>
      <c r="X36" s="91">
        <f>IFERROR((W36/W25),0)</f>
        <v/>
      </c>
      <c r="Y36" s="261" t="n"/>
      <c r="Z36" s="91">
        <f>IFERROR((Y36/Y25),0)</f>
        <v/>
      </c>
      <c r="AA36" s="248">
        <f>SUM(C36:Y36)</f>
        <v/>
      </c>
      <c r="AB36" s="142">
        <f>IFERROR((AA36/AA25),0)</f>
        <v/>
      </c>
    </row>
    <row r="37" ht="15" customHeight="1">
      <c r="A37" s="75" t="n"/>
      <c r="B37" s="134" t="inlineStr">
        <is>
          <t>(-)   Custos Alienação</t>
        </is>
      </c>
      <c r="C37" s="261" t="n">
        <v>0</v>
      </c>
      <c r="D37" s="91">
        <f>IFERROR((C37/C25),0)</f>
        <v/>
      </c>
      <c r="E37" s="261" t="n"/>
      <c r="F37" s="91">
        <f>IFERROR((E37/E25),0)</f>
        <v/>
      </c>
      <c r="G37" s="261" t="n"/>
      <c r="H37" s="91">
        <f>IFERROR((G37/G25),0)</f>
        <v/>
      </c>
      <c r="I37" s="261" t="n"/>
      <c r="J37" s="91">
        <f>IFERROR((I37/I25),0)</f>
        <v/>
      </c>
      <c r="K37" s="261" t="n"/>
      <c r="L37" s="91">
        <f>IFERROR((K37/K25),0)</f>
        <v/>
      </c>
      <c r="M37" s="261" t="n"/>
      <c r="N37" s="91">
        <f>IFERROR((M37/M25),0)</f>
        <v/>
      </c>
      <c r="O37" s="261" t="n"/>
      <c r="P37" s="91">
        <f>IFERROR((O37/O25),0)</f>
        <v/>
      </c>
      <c r="Q37" s="261" t="n"/>
      <c r="R37" s="91">
        <f>IFERROR((Q37/Q25),0)</f>
        <v/>
      </c>
      <c r="S37" s="261" t="n"/>
      <c r="T37" s="91">
        <f>IFERROR((S37/S25),0)</f>
        <v/>
      </c>
      <c r="U37" s="261" t="n"/>
      <c r="V37" s="91">
        <f>IFERROR((U37/U25),0)</f>
        <v/>
      </c>
      <c r="W37" s="261" t="n"/>
      <c r="X37" s="91">
        <f>IFERROR((W37/W25),0)</f>
        <v/>
      </c>
      <c r="Y37" s="261" t="n"/>
      <c r="Z37" s="91">
        <f>IFERROR((Y37/Y25),0)</f>
        <v/>
      </c>
      <c r="AA37" s="248">
        <f>SUM(C37:Y37)</f>
        <v/>
      </c>
      <c r="AB37" s="142">
        <f>IFERROR((AA37/AA25),0)</f>
        <v/>
      </c>
    </row>
    <row r="38" ht="15" customHeight="1">
      <c r="A38" s="75" t="n"/>
      <c r="B38" s="138" t="inlineStr">
        <is>
          <t>Custo Total</t>
        </is>
      </c>
      <c r="C38" s="252">
        <f>SUM(C33:C37)</f>
        <v/>
      </c>
      <c r="D38" s="92" t="n"/>
      <c r="E38" s="252">
        <f>SUM(E33:E37)</f>
        <v/>
      </c>
      <c r="F38" s="92" t="n"/>
      <c r="G38" s="252">
        <f>SUM(G33:G37)</f>
        <v/>
      </c>
      <c r="H38" s="92" t="n"/>
      <c r="I38" s="252">
        <f>SUM(I33:I37)</f>
        <v/>
      </c>
      <c r="J38" s="92" t="n"/>
      <c r="K38" s="252">
        <f>SUM(K33:K37)</f>
        <v/>
      </c>
      <c r="L38" s="92" t="n"/>
      <c r="M38" s="252">
        <f>SUM(M33:M37)</f>
        <v/>
      </c>
      <c r="N38" s="92" t="n"/>
      <c r="O38" s="252">
        <f>SUM(O33:O37)</f>
        <v/>
      </c>
      <c r="P38" s="92" t="n"/>
      <c r="Q38" s="252">
        <f>SUM(Q33:Q37)</f>
        <v/>
      </c>
      <c r="R38" s="92" t="n"/>
      <c r="S38" s="252">
        <f>SUM(S33:S37)</f>
        <v/>
      </c>
      <c r="T38" s="92" t="n"/>
      <c r="U38" s="252">
        <f>SUM(U33:U37)</f>
        <v/>
      </c>
      <c r="V38" s="92" t="n"/>
      <c r="W38" s="252">
        <f>SUM(W33:W37)</f>
        <v/>
      </c>
      <c r="X38" s="92" t="n"/>
      <c r="Y38" s="252">
        <f>SUM(Y33:Y37)</f>
        <v/>
      </c>
      <c r="Z38" s="92" t="n"/>
      <c r="AA38" s="252">
        <f>SUM(AA33:AA37)</f>
        <v/>
      </c>
      <c r="AB38" s="143" t="n"/>
      <c r="AC38" s="254" t="n"/>
    </row>
    <row r="39" customFormat="1" s="67">
      <c r="B39" s="148" t="n"/>
      <c r="C39" s="263" t="n"/>
      <c r="D39" s="263" t="n"/>
      <c r="E39" s="263" t="n"/>
      <c r="F39" s="263" t="n"/>
      <c r="G39" s="263" t="n"/>
      <c r="H39" s="263" t="n"/>
      <c r="I39" s="263" t="n"/>
      <c r="J39" s="263" t="n"/>
      <c r="K39" s="263" t="n"/>
      <c r="L39" s="263" t="n"/>
      <c r="M39" s="263" t="n"/>
      <c r="N39" s="263" t="n"/>
      <c r="O39" s="263" t="n"/>
      <c r="P39" s="263" t="n"/>
      <c r="Q39" s="263" t="n"/>
      <c r="R39" s="263" t="n"/>
      <c r="S39" s="263" t="n"/>
      <c r="T39" s="263" t="n"/>
      <c r="U39" s="263" t="n"/>
      <c r="V39" s="263" t="n"/>
      <c r="W39" s="263" t="n"/>
      <c r="X39" s="263" t="n"/>
      <c r="Y39" s="263" t="n"/>
      <c r="Z39" s="263" t="n"/>
      <c r="AA39" s="259" t="n"/>
      <c r="AB39" s="264" t="n"/>
    </row>
    <row r="40" ht="15" customFormat="1" customHeight="1" s="48">
      <c r="B40" s="146" t="inlineStr">
        <is>
          <t>(-) Despesas</t>
        </is>
      </c>
      <c r="C40" s="261" t="n">
        <v>-693861.26</v>
      </c>
      <c r="D40" s="91">
        <f>IFERROR((C40/C25),0)</f>
        <v/>
      </c>
      <c r="E40" s="261" t="n"/>
      <c r="F40" s="91">
        <f>IFERROR((E40/E25),0)</f>
        <v/>
      </c>
      <c r="G40" s="261" t="n"/>
      <c r="H40" s="91">
        <f>IFERROR((G40/G25),0)</f>
        <v/>
      </c>
      <c r="I40" s="261" t="n"/>
      <c r="J40" s="91">
        <f>IFERROR((I40/I25),0)</f>
        <v/>
      </c>
      <c r="K40" s="261" t="n"/>
      <c r="L40" s="91">
        <f>IFERROR((K40/K25),0)</f>
        <v/>
      </c>
      <c r="M40" s="261" t="n"/>
      <c r="N40" s="91">
        <f>IFERROR((M40/M25),0)</f>
        <v/>
      </c>
      <c r="O40" s="261" t="n"/>
      <c r="P40" s="91">
        <f>IFERROR((O40/O25),0)</f>
        <v/>
      </c>
      <c r="Q40" s="261" t="n"/>
      <c r="R40" s="91">
        <f>IFERROR((Q40/Q25),0)</f>
        <v/>
      </c>
      <c r="S40" s="261" t="n"/>
      <c r="T40" s="91">
        <f>IFERROR((S40/S25),0)</f>
        <v/>
      </c>
      <c r="U40" s="261" t="n"/>
      <c r="V40" s="91">
        <f>IFERROR((U40/U25),0)</f>
        <v/>
      </c>
      <c r="W40" s="261" t="n"/>
      <c r="X40" s="91">
        <f>IFERROR((W40/W25),0)</f>
        <v/>
      </c>
      <c r="Y40" s="261" t="n"/>
      <c r="Z40" s="91">
        <f>IFERROR((Y40/Y25),0)</f>
        <v/>
      </c>
      <c r="AA40" s="248">
        <f>SUM(C40:Y40)</f>
        <v/>
      </c>
      <c r="AB40" s="142">
        <f>IFERROR((AA40/AA25),0)</f>
        <v/>
      </c>
    </row>
    <row r="41" ht="15" customFormat="1" customHeight="1" s="48">
      <c r="B41" s="146" t="inlineStr">
        <is>
          <t>(+/-) Outros Resultados Operacionais</t>
        </is>
      </c>
      <c r="C41" s="261" t="n">
        <v>0</v>
      </c>
      <c r="D41" s="91">
        <f>IFERROR((C41/C25),0)</f>
        <v/>
      </c>
      <c r="E41" s="261" t="n"/>
      <c r="F41" s="91">
        <f>IFERROR((E41/E25),0)</f>
        <v/>
      </c>
      <c r="G41" s="261" t="n"/>
      <c r="H41" s="91">
        <f>IFERROR((G41/G25),0)</f>
        <v/>
      </c>
      <c r="I41" s="261" t="n"/>
      <c r="J41" s="91">
        <f>IFERROR((I41/I25),0)</f>
        <v/>
      </c>
      <c r="K41" s="261" t="n"/>
      <c r="L41" s="91">
        <f>IFERROR((K41/K25),0)</f>
        <v/>
      </c>
      <c r="M41" s="261" t="n"/>
      <c r="N41" s="91">
        <f>IFERROR((M41/M25),0)</f>
        <v/>
      </c>
      <c r="O41" s="261" t="n"/>
      <c r="P41" s="91">
        <f>IFERROR((O41/O25),0)</f>
        <v/>
      </c>
      <c r="Q41" s="261" t="n"/>
      <c r="R41" s="91">
        <f>IFERROR((Q41/Q25),0)</f>
        <v/>
      </c>
      <c r="S41" s="261" t="n"/>
      <c r="T41" s="91">
        <f>IFERROR((S41/S25),0)</f>
        <v/>
      </c>
      <c r="U41" s="261" t="n"/>
      <c r="V41" s="91">
        <f>IFERROR((U41/U25),0)</f>
        <v/>
      </c>
      <c r="W41" s="261" t="n"/>
      <c r="X41" s="91">
        <f>IFERROR((W41/W25),0)</f>
        <v/>
      </c>
      <c r="Y41" s="261" t="n"/>
      <c r="Z41" s="91">
        <f>IFERROR((Y41/Y25),0)</f>
        <v/>
      </c>
      <c r="AA41" s="248">
        <f>SUM(C41:Y41)</f>
        <v/>
      </c>
      <c r="AB41" s="142">
        <f>IFERROR((AA41/AA25),0)</f>
        <v/>
      </c>
    </row>
    <row r="42" ht="15" customFormat="1" customHeight="1" s="48">
      <c r="B42" s="146" t="inlineStr">
        <is>
          <t>(+/-) Resultado Financeiro</t>
        </is>
      </c>
      <c r="C42" s="261" t="n">
        <v>5578.44</v>
      </c>
      <c r="D42" s="91">
        <f>IFERROR((C42/C25),0)</f>
        <v/>
      </c>
      <c r="E42" s="261" t="n"/>
      <c r="F42" s="91">
        <f>IFERROR((E42/E25),0)</f>
        <v/>
      </c>
      <c r="G42" s="261" t="n"/>
      <c r="H42" s="91">
        <f>IFERROR((G42/G25),0)</f>
        <v/>
      </c>
      <c r="I42" s="261" t="n"/>
      <c r="J42" s="91">
        <f>IFERROR((I42/I25),0)</f>
        <v/>
      </c>
      <c r="K42" s="261" t="n"/>
      <c r="L42" s="91">
        <f>IFERROR((K42/K25),0)</f>
        <v/>
      </c>
      <c r="M42" s="261" t="n"/>
      <c r="N42" s="91">
        <f>IFERROR((M42/M25),0)</f>
        <v/>
      </c>
      <c r="O42" s="261" t="n"/>
      <c r="P42" s="91">
        <f>IFERROR((O42/O25),0)</f>
        <v/>
      </c>
      <c r="Q42" s="261" t="n"/>
      <c r="R42" s="91">
        <f>IFERROR((Q42/Q25),0)</f>
        <v/>
      </c>
      <c r="S42" s="261" t="n"/>
      <c r="T42" s="91">
        <f>IFERROR((S42/S25),0)</f>
        <v/>
      </c>
      <c r="U42" s="261" t="n"/>
      <c r="V42" s="91">
        <f>IFERROR((U42/U25),0)</f>
        <v/>
      </c>
      <c r="W42" s="261" t="n"/>
      <c r="X42" s="91">
        <f>IFERROR((W42/W25),0)</f>
        <v/>
      </c>
      <c r="Y42" s="261" t="n"/>
      <c r="Z42" s="91">
        <f>IFERROR((Y42/Y25),0)</f>
        <v/>
      </c>
      <c r="AA42" s="248">
        <f>SUM(C42:Y42)</f>
        <v/>
      </c>
      <c r="AB42" s="142">
        <f>IFERROR((AA42/AA25),0)</f>
        <v/>
      </c>
    </row>
    <row r="43" ht="6.5" customFormat="1" customHeight="1" s="48">
      <c r="B43" s="146" t="n"/>
      <c r="C43" s="261" t="n"/>
      <c r="D43" s="261" t="n"/>
      <c r="E43" s="261" t="n"/>
      <c r="F43" s="261" t="n"/>
      <c r="G43" s="261" t="n"/>
      <c r="H43" s="261" t="n"/>
      <c r="I43" s="261" t="n"/>
      <c r="J43" s="261" t="n"/>
      <c r="K43" s="261" t="n"/>
      <c r="L43" s="261" t="n"/>
      <c r="M43" s="261" t="n"/>
      <c r="N43" s="261" t="n"/>
      <c r="O43" s="261" t="n"/>
      <c r="P43" s="261" t="n"/>
      <c r="Q43" s="261" t="n"/>
      <c r="R43" s="261" t="n"/>
      <c r="S43" s="261" t="n"/>
      <c r="T43" s="261" t="n"/>
      <c r="U43" s="261" t="n"/>
      <c r="V43" s="261" t="n"/>
      <c r="W43" s="261" t="n"/>
      <c r="X43" s="261" t="n"/>
      <c r="Y43" s="261" t="n"/>
      <c r="Z43" s="261" t="n"/>
      <c r="AA43" s="261" t="n"/>
      <c r="AB43" s="262" t="n"/>
    </row>
    <row r="44" ht="15" customFormat="1" customHeight="1" s="265">
      <c r="A44" s="266" t="n"/>
      <c r="B44" s="267" t="inlineStr">
        <is>
          <t>Resultado</t>
        </is>
      </c>
      <c r="C44" s="252">
        <f>SUM(C25+C28+C31+C38+C40+C41+C42)</f>
        <v/>
      </c>
      <c r="D44" s="92">
        <f>IFERROR((C44/C25),0)</f>
        <v/>
      </c>
      <c r="E44" s="252">
        <f>SUM(E25+E28+E31+E38+E40+E41+E42)</f>
        <v/>
      </c>
      <c r="F44" s="92">
        <f>IFERROR((E44/E25),0)</f>
        <v/>
      </c>
      <c r="G44" s="252">
        <f>SUM(G25+G28+G31+G38+G40+G41+G42)</f>
        <v/>
      </c>
      <c r="H44" s="92">
        <f>-IFERROR((G44/G25),0)</f>
        <v/>
      </c>
      <c r="I44" s="252">
        <f>SUM(I25+I28+I31+I38+I40+I41+I42)</f>
        <v/>
      </c>
      <c r="J44" s="92">
        <f>-IFERROR((I44/I25),0)</f>
        <v/>
      </c>
      <c r="K44" s="252">
        <f>SUM(K25+K28+K31+K38+K40+K41+K42)</f>
        <v/>
      </c>
      <c r="L44" s="92">
        <f>-IFERROR((K44/K25),0)</f>
        <v/>
      </c>
      <c r="M44" s="252">
        <f>SUM(M25+M28+M31+M38+M40+M41+M42)</f>
        <v/>
      </c>
      <c r="N44" s="92">
        <f>-IFERROR((M44/M25),0)</f>
        <v/>
      </c>
      <c r="O44" s="252">
        <f>SUM(O25+O28+O31+O38+O40+O41+O42)</f>
        <v/>
      </c>
      <c r="P44" s="92">
        <f>-IFERROR((O44/O25),0)</f>
        <v/>
      </c>
      <c r="Q44" s="252">
        <f>SUM(Q25+Q28+Q31+Q38+Q40+Q41+Q42)</f>
        <v/>
      </c>
      <c r="R44" s="92">
        <f>-IFERROR((Q44/Q25),0)</f>
        <v/>
      </c>
      <c r="S44" s="252">
        <f>SUM(S25+S28+S31+S38+S40+S41+S42)</f>
        <v/>
      </c>
      <c r="T44" s="92">
        <f>-IFERROR((S44/S25),0)</f>
        <v/>
      </c>
      <c r="U44" s="252">
        <f>SUM(U25+U28+U31+U38+U40+U41+U42)</f>
        <v/>
      </c>
      <c r="V44" s="92">
        <f>-IFERROR((U44/U25),0)</f>
        <v/>
      </c>
      <c r="W44" s="252">
        <f>SUM(W25+W28+W31+W38+W40+W41+W42)</f>
        <v/>
      </c>
      <c r="X44" s="92">
        <f>-IFERROR((W44/W25),0)</f>
        <v/>
      </c>
      <c r="Y44" s="252">
        <f>SUM(Y25+Y28+Y31+Y38+Y40+Y41+Y42)</f>
        <v/>
      </c>
      <c r="Z44" s="92">
        <f>-IFERROR((Y44/Y25),0)</f>
        <v/>
      </c>
      <c r="AA44" s="252">
        <f>SUM(AA25+AA28+AA31+AA38+AA40+AA41+AA42)</f>
        <v/>
      </c>
      <c r="AB44" s="143">
        <f>-IFERROR((AA44/AA25),0)</f>
        <v/>
      </c>
    </row>
    <row r="45">
      <c r="B45" s="144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8" t="n"/>
      <c r="M45" s="258" t="n"/>
      <c r="N45" s="258" t="n"/>
      <c r="O45" s="258" t="n"/>
      <c r="P45" s="258" t="n"/>
      <c r="Q45" s="258" t="n"/>
      <c r="R45" s="258" t="n"/>
      <c r="S45" s="258" t="n"/>
      <c r="T45" s="258" t="n"/>
      <c r="U45" s="258" t="n"/>
      <c r="V45" s="258" t="n"/>
      <c r="W45" s="258" t="n"/>
      <c r="X45" s="258" t="n"/>
      <c r="Y45" s="258" t="n"/>
      <c r="Z45" s="258" t="n"/>
      <c r="AA45" s="259" t="n"/>
      <c r="AB45" s="260" t="n"/>
    </row>
    <row r="46">
      <c r="B46" s="144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8" t="n"/>
      <c r="M46" s="258" t="n"/>
      <c r="N46" s="258" t="n"/>
      <c r="O46" s="258" t="n"/>
      <c r="P46" s="258" t="n"/>
      <c r="Q46" s="258" t="n"/>
      <c r="R46" s="258" t="n"/>
      <c r="S46" s="258" t="n"/>
      <c r="T46" s="258" t="n"/>
      <c r="U46" s="258" t="n"/>
      <c r="V46" s="258" t="n"/>
      <c r="W46" s="258" t="n"/>
      <c r="X46" s="258" t="n"/>
      <c r="Y46" s="258" t="n"/>
      <c r="Z46" s="258" t="n"/>
      <c r="AA46" s="259" t="n"/>
      <c r="AB46" s="260" t="n"/>
    </row>
    <row r="47">
      <c r="B47" s="218" t="inlineStr">
        <is>
          <t>ACOMPANHAMENTO DE ESTOQUE_2026</t>
        </is>
      </c>
      <c r="AB47" s="151" t="n"/>
    </row>
    <row r="48">
      <c r="B48" s="152" t="n"/>
      <c r="AB48" s="153" t="n"/>
    </row>
    <row r="49" customFormat="1" s="2" thickBot="1">
      <c r="A49" s="7" t="n"/>
      <c r="B49" s="132" t="n"/>
      <c r="C49" s="81" t="inlineStr">
        <is>
          <t>JAN</t>
        </is>
      </c>
      <c r="D49" s="81" t="n"/>
      <c r="E49" s="81" t="inlineStr">
        <is>
          <t>FEV</t>
        </is>
      </c>
      <c r="F49" s="81" t="n"/>
      <c r="G49" s="81" t="inlineStr">
        <is>
          <t>MAR</t>
        </is>
      </c>
      <c r="H49" s="81" t="n"/>
      <c r="I49" s="81" t="inlineStr">
        <is>
          <t>ABR</t>
        </is>
      </c>
      <c r="J49" s="81" t="n"/>
      <c r="K49" s="81" t="inlineStr">
        <is>
          <t>MAI</t>
        </is>
      </c>
      <c r="L49" s="81" t="n"/>
      <c r="M49" s="81" t="inlineStr">
        <is>
          <t>JUN</t>
        </is>
      </c>
      <c r="N49" s="81" t="n"/>
      <c r="O49" s="81" t="inlineStr">
        <is>
          <t>JUL</t>
        </is>
      </c>
      <c r="P49" s="81" t="n"/>
      <c r="Q49" s="81" t="inlineStr">
        <is>
          <t>AGO</t>
        </is>
      </c>
      <c r="R49" s="81" t="n"/>
      <c r="S49" s="81" t="inlineStr">
        <is>
          <t>SET</t>
        </is>
      </c>
      <c r="T49" s="81" t="n"/>
      <c r="U49" s="81" t="inlineStr">
        <is>
          <t>OUT</t>
        </is>
      </c>
      <c r="V49" s="81" t="n"/>
      <c r="W49" s="81" t="inlineStr">
        <is>
          <t>NOV</t>
        </is>
      </c>
      <c r="X49" s="81" t="n"/>
      <c r="Y49" s="81" t="inlineStr">
        <is>
          <t>DEZ</t>
        </is>
      </c>
      <c r="Z49" s="81" t="n"/>
      <c r="AA49" s="81" t="inlineStr">
        <is>
          <t>ANUAL</t>
        </is>
      </c>
      <c r="AB49" s="133" t="n"/>
    </row>
    <row r="50" thickTop="1">
      <c r="A50" s="75" t="n"/>
      <c r="B50" s="154" t="inlineStr">
        <is>
          <t>Compras (Média)</t>
        </is>
      </c>
      <c r="C50" s="268" t="n"/>
      <c r="D50" s="268" t="n"/>
      <c r="E50" s="268" t="n"/>
      <c r="F50" s="268" t="n"/>
      <c r="G50" s="268" t="n"/>
      <c r="H50" s="268" t="n"/>
      <c r="I50" s="268" t="n"/>
      <c r="J50" s="268" t="n"/>
      <c r="K50" s="268" t="n"/>
      <c r="L50" s="268" t="n"/>
      <c r="M50" s="268" t="n"/>
      <c r="N50" s="268" t="n"/>
      <c r="O50" s="268" t="n"/>
      <c r="P50" s="268" t="n"/>
      <c r="Q50" s="268" t="n"/>
      <c r="R50" s="268" t="n"/>
      <c r="S50" s="268" t="n"/>
      <c r="T50" s="268" t="n"/>
      <c r="U50" s="268" t="n"/>
      <c r="V50" s="268" t="n"/>
      <c r="W50" s="268" t="n"/>
      <c r="X50" s="268" t="n"/>
      <c r="Y50" s="268" t="n"/>
      <c r="Z50" s="268" t="n"/>
      <c r="AA50" s="268" t="n"/>
      <c r="AB50" s="269" t="n"/>
      <c r="AC50" s="270" t="n"/>
    </row>
    <row r="51" ht="15" customHeight="1">
      <c r="A51" s="75" t="n">
        <v>266</v>
      </c>
      <c r="B51" s="134" t="inlineStr">
        <is>
          <t>Estoque Contábil</t>
        </is>
      </c>
      <c r="C51" s="271" t="n"/>
      <c r="D51" s="271" t="n"/>
      <c r="E51" s="271" t="n"/>
      <c r="F51" s="271" t="n"/>
      <c r="G51" s="271" t="n"/>
      <c r="H51" s="271" t="n"/>
      <c r="I51" s="271" t="n"/>
      <c r="J51" s="271" t="n"/>
      <c r="K51" s="271" t="n"/>
      <c r="L51" s="271" t="n"/>
      <c r="M51" s="271" t="n"/>
      <c r="N51" s="271" t="n"/>
      <c r="O51" s="271" t="n"/>
      <c r="P51" s="271" t="n"/>
      <c r="Q51" s="271" t="n"/>
      <c r="R51" s="271" t="n"/>
      <c r="S51" s="271" t="n"/>
      <c r="T51" s="271" t="n"/>
      <c r="U51" s="271" t="n"/>
      <c r="V51" s="271" t="n"/>
      <c r="W51" s="271" t="n"/>
      <c r="X51" s="271" t="n"/>
      <c r="Y51" s="271" t="n"/>
      <c r="Z51" s="271" t="n"/>
      <c r="AA51" s="271">
        <f>Y51</f>
        <v/>
      </c>
      <c r="AB51" s="272" t="n"/>
    </row>
    <row r="52" ht="15" customHeight="1">
      <c r="A52" s="75" t="n"/>
      <c r="B52" s="157" t="inlineStr">
        <is>
          <t>Estoque Relatório Gerencial</t>
        </is>
      </c>
      <c r="C52" s="273" t="n"/>
      <c r="D52" s="273" t="n"/>
      <c r="E52" s="273" t="n"/>
      <c r="F52" s="273" t="n"/>
      <c r="G52" s="273" t="n"/>
      <c r="H52" s="273" t="n"/>
      <c r="I52" s="273" t="n"/>
      <c r="J52" s="273" t="n"/>
      <c r="K52" s="273" t="n"/>
      <c r="L52" s="273" t="n"/>
      <c r="M52" s="273" t="n"/>
      <c r="N52" s="273" t="n"/>
      <c r="O52" s="273" t="n"/>
      <c r="P52" s="273" t="n"/>
      <c r="Q52" s="273" t="n"/>
      <c r="R52" s="273" t="n"/>
      <c r="S52" s="273" t="n"/>
      <c r="T52" s="273" t="n"/>
      <c r="U52" s="273" t="n"/>
      <c r="V52" s="273" t="n"/>
      <c r="W52" s="273" t="n"/>
      <c r="X52" s="273" t="n"/>
      <c r="Y52" s="273" t="n"/>
      <c r="Z52" s="273" t="n"/>
      <c r="AA52" s="273">
        <f>Y52</f>
        <v/>
      </c>
      <c r="AB52" s="274" t="n"/>
    </row>
    <row r="53" ht="15" customFormat="1" customHeight="1" s="48">
      <c r="B53" s="159" t="inlineStr">
        <is>
          <t>Dif. Estoque (Gerencial Vs Contábil)</t>
        </is>
      </c>
      <c r="C53" s="275">
        <f>C52-C51</f>
        <v/>
      </c>
      <c r="D53" s="275" t="n"/>
      <c r="E53" s="275">
        <f>E52-E51</f>
        <v/>
      </c>
      <c r="F53" s="275" t="n"/>
      <c r="G53" s="275">
        <f>G52-G51</f>
        <v/>
      </c>
      <c r="H53" s="275" t="n"/>
      <c r="I53" s="275">
        <f>I52-I51</f>
        <v/>
      </c>
      <c r="J53" s="275" t="n"/>
      <c r="K53" s="275">
        <f>K52-K51</f>
        <v/>
      </c>
      <c r="L53" s="275" t="n"/>
      <c r="M53" s="275">
        <f>M52-M51</f>
        <v/>
      </c>
      <c r="N53" s="275" t="n"/>
      <c r="O53" s="275">
        <f>O52-O51</f>
        <v/>
      </c>
      <c r="P53" s="275" t="n"/>
      <c r="Q53" s="275">
        <f>Q52-Q51</f>
        <v/>
      </c>
      <c r="R53" s="275" t="n"/>
      <c r="S53" s="275">
        <f>S52-S51</f>
        <v/>
      </c>
      <c r="T53" s="275" t="n"/>
      <c r="U53" s="275">
        <f>U52-U51</f>
        <v/>
      </c>
      <c r="V53" s="275" t="n"/>
      <c r="W53" s="275">
        <f>W52-W51</f>
        <v/>
      </c>
      <c r="X53" s="275" t="n"/>
      <c r="Y53" s="275">
        <f>Y52-Y51</f>
        <v/>
      </c>
      <c r="Z53" s="275" t="n"/>
      <c r="AA53" s="275">
        <f>AA52-AA51</f>
        <v/>
      </c>
      <c r="AB53" s="276" t="n"/>
    </row>
    <row r="54">
      <c r="B54" s="148" t="n"/>
      <c r="C54" s="277" t="n"/>
      <c r="D54" s="277" t="n"/>
      <c r="E54" s="277" t="n"/>
      <c r="F54" s="277" t="n"/>
      <c r="G54" s="277" t="n"/>
      <c r="H54" s="277" t="n"/>
      <c r="I54" s="277" t="n"/>
      <c r="J54" s="277" t="n"/>
      <c r="K54" s="277" t="n"/>
      <c r="L54" s="277" t="n"/>
      <c r="M54" s="277" t="n"/>
      <c r="N54" s="277" t="n"/>
      <c r="O54" s="277" t="n"/>
      <c r="P54" s="277" t="n"/>
      <c r="Q54" s="277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B54" s="278" t="n"/>
    </row>
    <row r="55">
      <c r="B55" s="218" t="inlineStr">
        <is>
          <t>APURAÇÃO IRPJ E CSLL_SUSPENSÃO/REDUÇÃO_2026</t>
        </is>
      </c>
      <c r="AB55" s="151" t="n"/>
    </row>
    <row r="56" ht="13.75" customHeight="1">
      <c r="B56" s="163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164" t="n"/>
    </row>
    <row r="57" ht="15" customFormat="1" customHeight="1" s="2">
      <c r="A57" s="7" t="n"/>
      <c r="B57" s="132" t="n"/>
      <c r="C57" s="81" t="inlineStr">
        <is>
          <t>JAN</t>
        </is>
      </c>
      <c r="D57" s="81" t="n"/>
      <c r="E57" s="81" t="inlineStr">
        <is>
          <t>FEV</t>
        </is>
      </c>
      <c r="F57" s="81" t="n"/>
      <c r="G57" s="81" t="inlineStr">
        <is>
          <t>MAR</t>
        </is>
      </c>
      <c r="H57" s="81" t="n"/>
      <c r="I57" s="81" t="inlineStr">
        <is>
          <t>ABR</t>
        </is>
      </c>
      <c r="J57" s="81" t="n"/>
      <c r="K57" s="81" t="inlineStr">
        <is>
          <t>MAI</t>
        </is>
      </c>
      <c r="L57" s="81" t="n"/>
      <c r="M57" s="81" t="inlineStr">
        <is>
          <t>JUN</t>
        </is>
      </c>
      <c r="N57" s="81" t="n"/>
      <c r="O57" s="81" t="inlineStr">
        <is>
          <t>JUL</t>
        </is>
      </c>
      <c r="P57" s="81" t="n"/>
      <c r="Q57" s="81" t="inlineStr">
        <is>
          <t>AGO</t>
        </is>
      </c>
      <c r="R57" s="81" t="n"/>
      <c r="S57" s="81" t="inlineStr">
        <is>
          <t>SET</t>
        </is>
      </c>
      <c r="T57" s="81" t="n"/>
      <c r="U57" s="81" t="inlineStr">
        <is>
          <t>OUT</t>
        </is>
      </c>
      <c r="V57" s="81" t="n"/>
      <c r="W57" s="81" t="inlineStr">
        <is>
          <t>NOV</t>
        </is>
      </c>
      <c r="X57" s="81" t="n"/>
      <c r="Y57" s="81" t="inlineStr">
        <is>
          <t>DEZ</t>
        </is>
      </c>
      <c r="Z57" s="81" t="n"/>
      <c r="AA57" s="81" t="inlineStr">
        <is>
          <t>ANUAL</t>
        </is>
      </c>
      <c r="AB57" s="133" t="n"/>
    </row>
    <row r="58" ht="6.75" customHeight="1">
      <c r="B58" s="165" t="n"/>
      <c r="C58" s="166" t="n"/>
      <c r="D58" s="166" t="n"/>
      <c r="E58" s="166" t="n"/>
      <c r="F58" s="166" t="n"/>
      <c r="G58" s="166" t="n"/>
      <c r="H58" s="166" t="n"/>
      <c r="I58" s="166" t="n"/>
      <c r="J58" s="166" t="n"/>
      <c r="K58" s="166" t="n"/>
      <c r="L58" s="166" t="n"/>
      <c r="M58" s="166" t="n"/>
      <c r="N58" s="166" t="n"/>
      <c r="O58" s="166" t="n"/>
      <c r="P58" s="166" t="n"/>
      <c r="Q58" s="166" t="n"/>
      <c r="R58" s="166" t="n"/>
      <c r="S58" s="166" t="n"/>
      <c r="T58" s="166" t="n"/>
      <c r="U58" s="166" t="n"/>
      <c r="V58" s="166" t="n"/>
      <c r="W58" s="166" t="n"/>
      <c r="X58" s="166" t="n"/>
      <c r="Y58" s="166" t="n"/>
      <c r="Z58" s="166" t="n"/>
      <c r="AA58" s="166" t="n"/>
      <c r="AB58" s="167" t="n"/>
    </row>
    <row r="59" ht="15" customFormat="1" customHeight="1" s="265">
      <c r="A59" s="266" t="n"/>
      <c r="B59" s="267" t="inlineStr">
        <is>
          <t>Lucro Líquido Antes dos Impostos do Período</t>
        </is>
      </c>
      <c r="C59" s="252">
        <f>C44</f>
        <v/>
      </c>
      <c r="D59" s="252" t="n"/>
      <c r="E59" s="252">
        <f>E44</f>
        <v/>
      </c>
      <c r="F59" s="252" t="n"/>
      <c r="G59" s="252">
        <f>G44</f>
        <v/>
      </c>
      <c r="H59" s="252" t="n"/>
      <c r="I59" s="252">
        <f>I44</f>
        <v/>
      </c>
      <c r="J59" s="252" t="n"/>
      <c r="K59" s="252">
        <f>K44</f>
        <v/>
      </c>
      <c r="L59" s="252" t="n"/>
      <c r="M59" s="252">
        <f>M44</f>
        <v/>
      </c>
      <c r="N59" s="252" t="n"/>
      <c r="O59" s="252">
        <f>O44</f>
        <v/>
      </c>
      <c r="P59" s="252" t="n"/>
      <c r="Q59" s="252">
        <f>Q44</f>
        <v/>
      </c>
      <c r="R59" s="252" t="n"/>
      <c r="S59" s="252">
        <f>S44</f>
        <v/>
      </c>
      <c r="T59" s="252" t="n"/>
      <c r="U59" s="252">
        <f>U44</f>
        <v/>
      </c>
      <c r="V59" s="252" t="n"/>
      <c r="W59" s="252">
        <f>W44</f>
        <v/>
      </c>
      <c r="X59" s="252" t="n"/>
      <c r="Y59" s="252">
        <f>Y44</f>
        <v/>
      </c>
      <c r="Z59" s="252" t="n"/>
      <c r="AA59" s="252">
        <f>AA44</f>
        <v/>
      </c>
      <c r="AB59" s="279" t="n"/>
    </row>
    <row r="60" ht="6.75" customFormat="1" customHeight="1" s="265">
      <c r="A60" s="266" t="n"/>
      <c r="B60" s="280" t="n"/>
      <c r="C60" s="281" t="n"/>
      <c r="D60" s="281" t="n"/>
      <c r="E60" s="281" t="n"/>
      <c r="F60" s="281" t="n"/>
      <c r="G60" s="281" t="n"/>
      <c r="H60" s="281" t="n"/>
      <c r="I60" s="281" t="n"/>
      <c r="J60" s="281" t="n"/>
      <c r="K60" s="281" t="n"/>
      <c r="L60" s="281" t="n"/>
      <c r="M60" s="281" t="n"/>
      <c r="N60" s="281" t="n"/>
      <c r="O60" s="281" t="n"/>
      <c r="P60" s="281" t="n"/>
      <c r="Q60" s="281" t="n"/>
      <c r="R60" s="281" t="n"/>
      <c r="S60" s="281" t="n"/>
      <c r="T60" s="281" t="n"/>
      <c r="U60" s="281" t="n"/>
      <c r="V60" s="281" t="n"/>
      <c r="W60" s="281" t="n"/>
      <c r="X60" s="281" t="n"/>
      <c r="Y60" s="281" t="n"/>
      <c r="Z60" s="281" t="n"/>
      <c r="AA60" s="281" t="n"/>
      <c r="AB60" s="282" t="n"/>
    </row>
    <row r="61" ht="15" customFormat="1" customHeight="1" s="265">
      <c r="A61" s="266" t="n"/>
      <c r="B61" s="267" t="inlineStr">
        <is>
          <t>Lucro Líquido Antes dos Impostos Acumulado</t>
        </is>
      </c>
      <c r="C61" s="252">
        <f>C59</f>
        <v/>
      </c>
      <c r="D61" s="252" t="n"/>
      <c r="E61" s="252">
        <f>E59+C61</f>
        <v/>
      </c>
      <c r="F61" s="252" t="n"/>
      <c r="G61" s="252">
        <f>G59+E61</f>
        <v/>
      </c>
      <c r="H61" s="252" t="n"/>
      <c r="I61" s="252">
        <f>I59+G61</f>
        <v/>
      </c>
      <c r="J61" s="252" t="n"/>
      <c r="K61" s="252">
        <f>K59+I61</f>
        <v/>
      </c>
      <c r="L61" s="252" t="n"/>
      <c r="M61" s="252">
        <f>M59+K61</f>
        <v/>
      </c>
      <c r="N61" s="252" t="n"/>
      <c r="O61" s="252">
        <f>O59+M61</f>
        <v/>
      </c>
      <c r="P61" s="252" t="n"/>
      <c r="Q61" s="252">
        <f>Q59+O61</f>
        <v/>
      </c>
      <c r="R61" s="252" t="n"/>
      <c r="S61" s="252">
        <f>S59+Q61</f>
        <v/>
      </c>
      <c r="T61" s="252" t="n"/>
      <c r="U61" s="252">
        <f>U59+S61</f>
        <v/>
      </c>
      <c r="V61" s="252" t="n"/>
      <c r="W61" s="252">
        <f>W59+U61</f>
        <v/>
      </c>
      <c r="X61" s="252" t="n"/>
      <c r="Y61" s="252">
        <f>Y59+W61</f>
        <v/>
      </c>
      <c r="Z61" s="252" t="n"/>
      <c r="AA61" s="252">
        <f>Y61</f>
        <v/>
      </c>
      <c r="AB61" s="279" t="n"/>
    </row>
    <row r="62">
      <c r="B62" s="140" t="n"/>
      <c r="C62" s="283" t="n"/>
      <c r="D62" s="283" t="n"/>
      <c r="E62" s="283" t="n"/>
      <c r="F62" s="283" t="n"/>
      <c r="G62" s="283" t="n"/>
      <c r="H62" s="283" t="n"/>
      <c r="I62" s="283" t="n"/>
      <c r="J62" s="283" t="n"/>
      <c r="K62" s="283" t="n"/>
      <c r="L62" s="283" t="n"/>
      <c r="M62" s="283" t="n"/>
      <c r="N62" s="283" t="n"/>
      <c r="O62" s="283" t="n"/>
      <c r="P62" s="283" t="n"/>
      <c r="Q62" s="283" t="n"/>
      <c r="R62" s="283" t="n"/>
      <c r="S62" s="283" t="n"/>
      <c r="T62" s="283" t="n"/>
      <c r="U62" s="283" t="n"/>
      <c r="V62" s="283" t="n"/>
      <c r="W62" s="283" t="n"/>
      <c r="X62" s="283" t="n"/>
      <c r="Y62" s="283" t="n"/>
      <c r="Z62" s="283" t="n"/>
      <c r="AA62" s="284" t="n"/>
      <c r="AB62" s="285" t="n"/>
    </row>
    <row r="63" ht="15" customHeight="1">
      <c r="A63" s="75" t="n"/>
      <c r="B63" s="174" t="inlineStr">
        <is>
          <t>ADIÇÕES</t>
        </is>
      </c>
      <c r="C63" s="286" t="n"/>
      <c r="D63" s="286" t="n"/>
      <c r="E63" s="286" t="n"/>
      <c r="F63" s="286" t="n"/>
      <c r="G63" s="286" t="n"/>
      <c r="H63" s="286" t="n"/>
      <c r="I63" s="286" t="n"/>
      <c r="J63" s="286" t="n"/>
      <c r="K63" s="286" t="n"/>
      <c r="L63" s="286" t="n"/>
      <c r="M63" s="286" t="n"/>
      <c r="N63" s="286" t="n"/>
      <c r="O63" s="286" t="n"/>
      <c r="P63" s="286" t="n"/>
      <c r="Q63" s="286" t="n"/>
      <c r="R63" s="286" t="n"/>
      <c r="S63" s="286" t="n"/>
      <c r="T63" s="286" t="n"/>
      <c r="U63" s="286" t="n"/>
      <c r="V63" s="286" t="n"/>
      <c r="W63" s="286" t="n"/>
      <c r="X63" s="286" t="n"/>
      <c r="Y63" s="286" t="n"/>
      <c r="Z63" s="286" t="n"/>
      <c r="AA63" s="286" t="n"/>
      <c r="AB63" s="287" t="n"/>
    </row>
    <row r="64" ht="15" customFormat="1" customHeight="1" s="1">
      <c r="A64" s="59" t="n">
        <v>6119</v>
      </c>
      <c r="B64" s="177" t="inlineStr">
        <is>
          <t>(+) Despesas Indedutíveis</t>
        </is>
      </c>
      <c r="C64" s="288">
        <f>'Adições e Exclusões'!C10</f>
        <v/>
      </c>
      <c r="D64" s="288" t="n"/>
      <c r="E64" s="288">
        <f>'Adições e Exclusões'!D9</f>
        <v/>
      </c>
      <c r="F64" s="288" t="n"/>
      <c r="G64" s="288">
        <f>'Adições e Exclusões'!E10</f>
        <v/>
      </c>
      <c r="H64" s="288" t="n"/>
      <c r="I64" s="288">
        <f>'Adições e Exclusões'!F10</f>
        <v/>
      </c>
      <c r="J64" s="288" t="n"/>
      <c r="K64" s="288">
        <f>'Adições e Exclusões'!G9</f>
        <v/>
      </c>
      <c r="L64" s="288" t="n"/>
      <c r="M64" s="257">
        <f>'Adições e Exclusões'!H10</f>
        <v/>
      </c>
      <c r="N64" s="288" t="n"/>
      <c r="O64" s="288">
        <f>'Adições e Exclusões'!I10</f>
        <v/>
      </c>
      <c r="P64" s="288" t="n"/>
      <c r="Q64" s="288">
        <f>'Adições e Exclusões'!J9</f>
        <v/>
      </c>
      <c r="R64" s="288" t="n"/>
      <c r="S64" s="288">
        <f>'Adições e Exclusões'!K10</f>
        <v/>
      </c>
      <c r="T64" s="288" t="n"/>
      <c r="U64" s="288">
        <f>'Adições e Exclusões'!L10</f>
        <v/>
      </c>
      <c r="V64" s="288" t="n"/>
      <c r="W64" s="288">
        <f>'Adições e Exclusões'!M10</f>
        <v/>
      </c>
      <c r="X64" s="288" t="n"/>
      <c r="Y64" s="288">
        <f>'Adições e Exclusões'!N10</f>
        <v/>
      </c>
      <c r="Z64" s="288" t="n"/>
      <c r="AA64" s="289">
        <f>'Adições e Exclusões'!O10</f>
        <v/>
      </c>
      <c r="AB64" s="290" t="n"/>
    </row>
    <row r="65" ht="15" customFormat="1" customHeight="1" s="1">
      <c r="A65" s="59" t="n">
        <v>6250</v>
      </c>
      <c r="B65" s="177" t="inlineStr">
        <is>
          <t>(+) Outros Gastos com Pessoal</t>
        </is>
      </c>
      <c r="C65" s="288">
        <f>'Adições e Exclusões'!C11</f>
        <v/>
      </c>
      <c r="D65" s="288" t="n"/>
      <c r="E65" s="288">
        <f>'Adições e Exclusões'!D10</f>
        <v/>
      </c>
      <c r="F65" s="288" t="n"/>
      <c r="G65" s="288">
        <f>'Adições e Exclusões'!E11</f>
        <v/>
      </c>
      <c r="H65" s="288" t="n"/>
      <c r="I65" s="288">
        <f>'Adições e Exclusões'!F11</f>
        <v/>
      </c>
      <c r="J65" s="288" t="n"/>
      <c r="K65" s="288">
        <f>'Adições e Exclusões'!G10</f>
        <v/>
      </c>
      <c r="L65" s="288" t="n"/>
      <c r="M65" s="257">
        <f>'Adições e Exclusões'!H11</f>
        <v/>
      </c>
      <c r="N65" s="288" t="n"/>
      <c r="O65" s="288">
        <f>'Adições e Exclusões'!I11</f>
        <v/>
      </c>
      <c r="P65" s="288" t="n"/>
      <c r="Q65" s="288">
        <f>'Adições e Exclusões'!J10</f>
        <v/>
      </c>
      <c r="R65" s="288" t="n"/>
      <c r="S65" s="288">
        <f>'Adições e Exclusões'!K11</f>
        <v/>
      </c>
      <c r="T65" s="288" t="n"/>
      <c r="U65" s="288">
        <f>'Adições e Exclusões'!L11</f>
        <v/>
      </c>
      <c r="V65" s="288" t="n"/>
      <c r="W65" s="288">
        <f>'Adições e Exclusões'!M11</f>
        <v/>
      </c>
      <c r="X65" s="288" t="n"/>
      <c r="Y65" s="288">
        <f>'Adições e Exclusões'!N11</f>
        <v/>
      </c>
      <c r="Z65" s="288" t="n"/>
      <c r="AA65" s="289">
        <f>'Adições e Exclusões'!O11</f>
        <v/>
      </c>
      <c r="AB65" s="290" t="n"/>
    </row>
    <row r="66" ht="15" customFormat="1" customHeight="1" s="1">
      <c r="A66" s="59" t="n">
        <v>6109</v>
      </c>
      <c r="B66" s="177" t="inlineStr">
        <is>
          <t>(+) Brindes</t>
        </is>
      </c>
      <c r="C66" s="288">
        <f>'Adições e Exclusões'!C12</f>
        <v/>
      </c>
      <c r="D66" s="288" t="n"/>
      <c r="E66" s="288">
        <f>'Adições e Exclusões'!D11</f>
        <v/>
      </c>
      <c r="F66" s="288" t="n"/>
      <c r="G66" s="288">
        <f>'Adições e Exclusões'!E12</f>
        <v/>
      </c>
      <c r="H66" s="288" t="n"/>
      <c r="I66" s="288">
        <f>'Adições e Exclusões'!F12</f>
        <v/>
      </c>
      <c r="J66" s="288" t="n"/>
      <c r="K66" s="288">
        <f>'Adições e Exclusões'!G11</f>
        <v/>
      </c>
      <c r="L66" s="288" t="n"/>
      <c r="M66" s="257">
        <f>'Adições e Exclusões'!H12</f>
        <v/>
      </c>
      <c r="N66" s="288" t="n"/>
      <c r="O66" s="288">
        <f>'Adições e Exclusões'!I12</f>
        <v/>
      </c>
      <c r="P66" s="288" t="n"/>
      <c r="Q66" s="288">
        <f>'Adições e Exclusões'!J11</f>
        <v/>
      </c>
      <c r="R66" s="288" t="n"/>
      <c r="S66" s="288">
        <f>'Adições e Exclusões'!K12</f>
        <v/>
      </c>
      <c r="T66" s="288" t="n"/>
      <c r="U66" s="288">
        <f>'Adições e Exclusões'!L12</f>
        <v/>
      </c>
      <c r="V66" s="288" t="n"/>
      <c r="W66" s="288">
        <f>'Adições e Exclusões'!M12</f>
        <v/>
      </c>
      <c r="X66" s="288" t="n"/>
      <c r="Y66" s="288">
        <f>'Adições e Exclusões'!N12</f>
        <v/>
      </c>
      <c r="Z66" s="288" t="n"/>
      <c r="AA66" s="289">
        <f>'Adições e Exclusões'!O12</f>
        <v/>
      </c>
      <c r="AB66" s="290" t="n"/>
    </row>
    <row r="67" ht="15" customFormat="1" customHeight="1" s="1">
      <c r="A67" s="59" t="n">
        <v>6257</v>
      </c>
      <c r="B67" s="177" t="inlineStr">
        <is>
          <t>(+) Multas Fiscais</t>
        </is>
      </c>
      <c r="C67" s="288">
        <f>'Adições e Exclusões'!C13</f>
        <v/>
      </c>
      <c r="D67" s="288" t="n"/>
      <c r="E67" s="288">
        <f>'Adições e Exclusões'!D12</f>
        <v/>
      </c>
      <c r="F67" s="288" t="n"/>
      <c r="G67" s="288">
        <f>'Adições e Exclusões'!E13</f>
        <v/>
      </c>
      <c r="H67" s="288" t="n"/>
      <c r="I67" s="288">
        <f>'Adições e Exclusões'!F13</f>
        <v/>
      </c>
      <c r="J67" s="288" t="n"/>
      <c r="K67" s="288">
        <f>'Adições e Exclusões'!G12</f>
        <v/>
      </c>
      <c r="L67" s="288" t="n"/>
      <c r="M67" s="257">
        <f>'Adições e Exclusões'!H13</f>
        <v/>
      </c>
      <c r="N67" s="288" t="n"/>
      <c r="O67" s="288">
        <f>'Adições e Exclusões'!I13</f>
        <v/>
      </c>
      <c r="P67" s="288" t="n"/>
      <c r="Q67" s="288">
        <f>'Adições e Exclusões'!J12</f>
        <v/>
      </c>
      <c r="R67" s="288" t="n"/>
      <c r="S67" s="288">
        <f>'Adições e Exclusões'!K13</f>
        <v/>
      </c>
      <c r="T67" s="288" t="n"/>
      <c r="U67" s="288">
        <f>'Adições e Exclusões'!L13</f>
        <v/>
      </c>
      <c r="V67" s="288" t="n"/>
      <c r="W67" s="288">
        <f>'Adições e Exclusões'!M13</f>
        <v/>
      </c>
      <c r="X67" s="288" t="n"/>
      <c r="Y67" s="288">
        <f>'Adições e Exclusões'!N13</f>
        <v/>
      </c>
      <c r="Z67" s="288" t="n"/>
      <c r="AA67" s="289">
        <f>'Adições e Exclusões'!O13</f>
        <v/>
      </c>
      <c r="AB67" s="290" t="n"/>
    </row>
    <row r="68" ht="15" customFormat="1" customHeight="1" s="1">
      <c r="A68" s="59" t="n">
        <v>3325</v>
      </c>
      <c r="B68" s="177" t="inlineStr">
        <is>
          <t>(+) Multas de Trânsito</t>
        </is>
      </c>
      <c r="C68" s="288">
        <f>'Adições e Exclusões'!C14</f>
        <v/>
      </c>
      <c r="D68" s="288" t="n"/>
      <c r="E68" s="288">
        <f>'Adições e Exclusões'!D13</f>
        <v/>
      </c>
      <c r="F68" s="288" t="n"/>
      <c r="G68" s="288">
        <f>'Adições e Exclusões'!E14</f>
        <v/>
      </c>
      <c r="H68" s="288" t="n"/>
      <c r="I68" s="288">
        <f>'Adições e Exclusões'!F14</f>
        <v/>
      </c>
      <c r="J68" s="288" t="n"/>
      <c r="K68" s="288">
        <f>'Adições e Exclusões'!G13</f>
        <v/>
      </c>
      <c r="L68" s="288" t="n"/>
      <c r="M68" s="257">
        <f>'Adições e Exclusões'!H14</f>
        <v/>
      </c>
      <c r="N68" s="288" t="n"/>
      <c r="O68" s="288">
        <f>'Adições e Exclusões'!I14</f>
        <v/>
      </c>
      <c r="P68" s="288" t="n"/>
      <c r="Q68" s="288">
        <f>'Adições e Exclusões'!J13</f>
        <v/>
      </c>
      <c r="R68" s="288" t="n"/>
      <c r="S68" s="288">
        <f>'Adições e Exclusões'!K14</f>
        <v/>
      </c>
      <c r="T68" s="288" t="n"/>
      <c r="U68" s="288">
        <f>'Adições e Exclusões'!L14</f>
        <v/>
      </c>
      <c r="V68" s="288" t="n"/>
      <c r="W68" s="288">
        <f>'Adições e Exclusões'!M14</f>
        <v/>
      </c>
      <c r="X68" s="288" t="n"/>
      <c r="Y68" s="288">
        <f>'Adições e Exclusões'!N14</f>
        <v/>
      </c>
      <c r="Z68" s="288" t="n"/>
      <c r="AA68" s="289">
        <f>'Adições e Exclusões'!O14</f>
        <v/>
      </c>
      <c r="AB68" s="290" t="n"/>
    </row>
    <row r="69" ht="15" customFormat="1" customHeight="1" s="1">
      <c r="A69" s="59" t="n"/>
      <c r="B69" s="177" t="inlineStr">
        <is>
          <t>(+) Depreciação acelerada</t>
        </is>
      </c>
      <c r="C69" s="288">
        <f>'Adições e Exclusões'!C15</f>
        <v/>
      </c>
      <c r="D69" s="288" t="n"/>
      <c r="E69" s="288">
        <f>'Adições e Exclusões'!D14</f>
        <v/>
      </c>
      <c r="F69" s="288" t="n"/>
      <c r="G69" s="288">
        <f>'Adições e Exclusões'!E15</f>
        <v/>
      </c>
      <c r="H69" s="288" t="n"/>
      <c r="I69" s="288">
        <f>'Adições e Exclusões'!F15</f>
        <v/>
      </c>
      <c r="J69" s="288" t="n"/>
      <c r="K69" s="288">
        <f>'Adições e Exclusões'!G14</f>
        <v/>
      </c>
      <c r="L69" s="288" t="n"/>
      <c r="M69" s="257">
        <f>'Adições e Exclusões'!H15</f>
        <v/>
      </c>
      <c r="N69" s="288" t="n"/>
      <c r="O69" s="288">
        <f>'Adições e Exclusões'!I15</f>
        <v/>
      </c>
      <c r="P69" s="288" t="n"/>
      <c r="Q69" s="288">
        <f>'Adições e Exclusões'!J14</f>
        <v/>
      </c>
      <c r="R69" s="288" t="n"/>
      <c r="S69" s="288">
        <f>'Adições e Exclusões'!K15</f>
        <v/>
      </c>
      <c r="T69" s="288" t="n"/>
      <c r="U69" s="288">
        <f>'Adições e Exclusões'!L15</f>
        <v/>
      </c>
      <c r="V69" s="288" t="n"/>
      <c r="W69" s="288">
        <f>'Adições e Exclusões'!M15</f>
        <v/>
      </c>
      <c r="X69" s="288" t="n"/>
      <c r="Y69" s="288">
        <f>'Adições e Exclusões'!N15</f>
        <v/>
      </c>
      <c r="Z69" s="288" t="n"/>
      <c r="AA69" s="289">
        <f>'Adições e Exclusões'!O15</f>
        <v/>
      </c>
      <c r="AB69" s="290" t="n"/>
    </row>
    <row r="70" ht="15" customHeight="1">
      <c r="A70" s="75" t="n"/>
      <c r="B70" s="138" t="inlineStr">
        <is>
          <t>Total das adições (acumulado)</t>
        </is>
      </c>
      <c r="C70" s="252">
        <f>SUM(C64:C69)</f>
        <v/>
      </c>
      <c r="D70" s="252" t="n"/>
      <c r="E70" s="252">
        <f>SUM(E64:E69)</f>
        <v/>
      </c>
      <c r="F70" s="252" t="n"/>
      <c r="G70" s="252">
        <f>SUM(G64:G69)</f>
        <v/>
      </c>
      <c r="H70" s="252" t="n"/>
      <c r="I70" s="252">
        <f>SUM(I64:I69)</f>
        <v/>
      </c>
      <c r="J70" s="252" t="n"/>
      <c r="K70" s="252">
        <f>SUM(K64:K69)</f>
        <v/>
      </c>
      <c r="L70" s="252" t="n"/>
      <c r="M70" s="252">
        <f>SUM(M64:M69)</f>
        <v/>
      </c>
      <c r="N70" s="252" t="n"/>
      <c r="O70" s="252">
        <f>SUM(O64:O69)</f>
        <v/>
      </c>
      <c r="P70" s="252" t="n"/>
      <c r="Q70" s="252">
        <f>SUM(Q64:Q69)</f>
        <v/>
      </c>
      <c r="R70" s="252" t="n"/>
      <c r="S70" s="252">
        <f>SUM(S64:S69)</f>
        <v/>
      </c>
      <c r="T70" s="252" t="n"/>
      <c r="U70" s="252">
        <f>SUM(U64:U69)</f>
        <v/>
      </c>
      <c r="V70" s="252" t="n"/>
      <c r="W70" s="252">
        <f>SUM(W64:W69)</f>
        <v/>
      </c>
      <c r="X70" s="252" t="n"/>
      <c r="Y70" s="252">
        <f>SUM(Y64:Y69)</f>
        <v/>
      </c>
      <c r="Z70" s="252" t="n"/>
      <c r="AA70" s="252">
        <f>SUM(AA64:AA69)</f>
        <v/>
      </c>
      <c r="AB70" s="253" t="n"/>
      <c r="AC70" s="254" t="n"/>
    </row>
    <row r="71" ht="15" customFormat="1" customHeight="1" s="1">
      <c r="A71" s="59" t="n"/>
      <c r="B71" s="177" t="n"/>
      <c r="C71" s="291" t="n"/>
      <c r="D71" s="291" t="n"/>
      <c r="E71" s="291" t="n"/>
      <c r="F71" s="291" t="n"/>
      <c r="G71" s="291" t="n"/>
      <c r="H71" s="291" t="n"/>
      <c r="I71" s="291" t="n"/>
      <c r="J71" s="291" t="n"/>
      <c r="K71" s="291" t="n"/>
      <c r="L71" s="291" t="n"/>
      <c r="M71" s="291" t="n"/>
      <c r="N71" s="291" t="n"/>
      <c r="O71" s="291" t="n"/>
      <c r="P71" s="291" t="n"/>
      <c r="Q71" s="291" t="n"/>
      <c r="R71" s="291" t="n"/>
      <c r="S71" s="291" t="n"/>
      <c r="T71" s="291" t="n"/>
      <c r="U71" s="291" t="n"/>
      <c r="V71" s="291" t="n"/>
      <c r="W71" s="291" t="n"/>
      <c r="X71" s="291" t="n"/>
      <c r="Y71" s="291" t="n"/>
      <c r="Z71" s="291" t="n"/>
      <c r="AA71" s="292" t="n"/>
      <c r="AB71" s="293" t="n"/>
    </row>
    <row r="72" ht="15" customFormat="1" customHeight="1" s="1">
      <c r="A72" s="59" t="n"/>
      <c r="B72" s="184" t="inlineStr">
        <is>
          <t>EXCLUSÕES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4" t="n"/>
      <c r="K72" s="294" t="n"/>
      <c r="L72" s="294" t="n"/>
      <c r="M72" s="294" t="n"/>
      <c r="N72" s="294" t="n"/>
      <c r="O72" s="294" t="n"/>
      <c r="P72" s="294" t="n"/>
      <c r="Q72" s="294" t="n"/>
      <c r="R72" s="294" t="n"/>
      <c r="S72" s="294" t="n"/>
      <c r="T72" s="294" t="n"/>
      <c r="U72" s="294" t="n"/>
      <c r="V72" s="294" t="n"/>
      <c r="W72" s="294" t="n"/>
      <c r="X72" s="294" t="n"/>
      <c r="Y72" s="294" t="n"/>
      <c r="Z72" s="294" t="n"/>
      <c r="AA72" s="294" t="n"/>
      <c r="AB72" s="295" t="n"/>
    </row>
    <row r="73" ht="15" customFormat="1" customHeight="1" s="1">
      <c r="A73" s="59" t="n">
        <v>5139</v>
      </c>
      <c r="B73" s="177" t="inlineStr">
        <is>
          <t>(-) Exclusões Subvenção</t>
        </is>
      </c>
      <c r="C73" s="288">
        <f>IFERROR(VLOOKUP($A$73,#REF!,6,0)*-1,0)</f>
        <v/>
      </c>
      <c r="D73" s="288" t="n"/>
      <c r="E73" s="288">
        <f>IFERROR(VLOOKUP($A$73,#REF!,6,0)*-1,0)</f>
        <v/>
      </c>
      <c r="F73" s="288" t="n"/>
      <c r="G73" s="288">
        <f>IFERROR(VLOOKUP($A$73,#REF!,6,0)*-1,0)</f>
        <v/>
      </c>
      <c r="H73" s="288" t="n"/>
      <c r="I73" s="288">
        <f>IFERROR(VLOOKUP($A$73,#REF!,6,0)*-1,0)</f>
        <v/>
      </c>
      <c r="J73" s="288" t="n"/>
      <c r="K73" s="288">
        <f>IFERROR(VLOOKUP($A$73,#REF!,6,0)*-1,0)</f>
        <v/>
      </c>
      <c r="L73" s="288" t="n"/>
      <c r="M73" s="288">
        <f>IFERROR(VLOOKUP($A$73,#REF!,6,0)*-1,0)</f>
        <v/>
      </c>
      <c r="N73" s="288" t="n"/>
      <c r="O73" s="288">
        <f>IFERROR(VLOOKUP($A$73,#REF!,6,0)*-1,0)</f>
        <v/>
      </c>
      <c r="P73" s="288" t="n"/>
      <c r="Q73" s="288">
        <f>IFERROR(VLOOKUP($A$73,#REF!,6,0)*-1,0)</f>
        <v/>
      </c>
      <c r="R73" s="288" t="n"/>
      <c r="S73" s="288">
        <f>IFERROR(VLOOKUP($A$73,#REF!,6,0)*-1,0)</f>
        <v/>
      </c>
      <c r="T73" s="288" t="n"/>
      <c r="U73" s="288">
        <f>IFERROR(VLOOKUP($A$73,#REF!,6,0)*-1,0)</f>
        <v/>
      </c>
      <c r="V73" s="288" t="n"/>
      <c r="W73" s="288">
        <f>IFERROR(VLOOKUP($A$73,#REF!,6,0)*-1,0)</f>
        <v/>
      </c>
      <c r="X73" s="288" t="n"/>
      <c r="Y73" s="288">
        <f>IFERROR(VLOOKUP($A$73,#REF!,6,0)*-1,0)</f>
        <v/>
      </c>
      <c r="Z73" s="288" t="n"/>
      <c r="AA73" s="289">
        <f>SUM(C73:Y73)</f>
        <v/>
      </c>
      <c r="AB73" s="290" t="n"/>
    </row>
    <row r="74" ht="15" customFormat="1" customHeight="1" s="1">
      <c r="A74" s="59" t="n"/>
      <c r="B74" s="177" t="inlineStr">
        <is>
          <t>(-) Exclusões cfe legislação</t>
        </is>
      </c>
      <c r="C74" s="288" t="n"/>
      <c r="D74" s="288" t="n"/>
      <c r="E74" s="288" t="n"/>
      <c r="F74" s="288" t="n"/>
      <c r="G74" s="288" t="n"/>
      <c r="H74" s="288" t="n"/>
      <c r="I74" s="288" t="n"/>
      <c r="J74" s="288" t="n"/>
      <c r="K74" s="288" t="n"/>
      <c r="L74" s="288" t="n"/>
      <c r="M74" s="288" t="n"/>
      <c r="N74" s="288" t="n"/>
      <c r="O74" s="288" t="n"/>
      <c r="P74" s="288" t="n"/>
      <c r="Q74" s="288" t="n"/>
      <c r="R74" s="288" t="n"/>
      <c r="S74" s="288" t="n"/>
      <c r="T74" s="288" t="n"/>
      <c r="U74" s="288" t="n"/>
      <c r="V74" s="288" t="n"/>
      <c r="W74" s="288" t="n"/>
      <c r="X74" s="288" t="n"/>
      <c r="Y74" s="288" t="n"/>
      <c r="Z74" s="288" t="n"/>
      <c r="AA74" s="289">
        <f>SUM(C74:Y74)</f>
        <v/>
      </c>
      <c r="AB74" s="290" t="n"/>
    </row>
    <row r="75" ht="15" customHeight="1">
      <c r="A75" s="75" t="n"/>
      <c r="B75" s="138" t="inlineStr">
        <is>
          <t>Total das exclusões (acumulado)</t>
        </is>
      </c>
      <c r="C75" s="252">
        <f>C73+C74</f>
        <v/>
      </c>
      <c r="D75" s="252" t="n"/>
      <c r="E75" s="252">
        <f>E73+E74</f>
        <v/>
      </c>
      <c r="F75" s="252" t="n"/>
      <c r="G75" s="252">
        <f>G73+G74</f>
        <v/>
      </c>
      <c r="H75" s="252" t="n"/>
      <c r="I75" s="252">
        <f>I73+I74</f>
        <v/>
      </c>
      <c r="J75" s="252" t="n"/>
      <c r="K75" s="252">
        <f>K73+K74</f>
        <v/>
      </c>
      <c r="L75" s="252" t="n"/>
      <c r="M75" s="252">
        <f>M73+M74</f>
        <v/>
      </c>
      <c r="N75" s="252" t="n"/>
      <c r="O75" s="252">
        <f>O73+O74</f>
        <v/>
      </c>
      <c r="P75" s="252" t="n"/>
      <c r="Q75" s="252">
        <f>Q73+Q74</f>
        <v/>
      </c>
      <c r="R75" s="252" t="n"/>
      <c r="S75" s="252">
        <f>S73+S74</f>
        <v/>
      </c>
      <c r="T75" s="252" t="n"/>
      <c r="U75" s="252">
        <f>U73+U74</f>
        <v/>
      </c>
      <c r="V75" s="252" t="n"/>
      <c r="W75" s="252">
        <f>W73+W74</f>
        <v/>
      </c>
      <c r="X75" s="252" t="n"/>
      <c r="Y75" s="252">
        <f>Y73+Y74</f>
        <v/>
      </c>
      <c r="Z75" s="252" t="n"/>
      <c r="AA75" s="252">
        <f>AA73+AA74</f>
        <v/>
      </c>
      <c r="AB75" s="187" t="n"/>
      <c r="AC75" s="254" t="n"/>
    </row>
    <row r="76" ht="15" customHeight="1">
      <c r="A76" s="75" t="n"/>
      <c r="B76" s="188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  <c r="AA76" s="248" t="n"/>
      <c r="AB76" s="189" t="n"/>
    </row>
    <row r="77" ht="15" customFormat="1" customHeight="1" s="265">
      <c r="A77" s="266" t="n"/>
      <c r="B77" s="267" t="inlineStr">
        <is>
          <t>Base Após Adições e Exclusões</t>
        </is>
      </c>
      <c r="C77" s="252">
        <f>IFERROR(C61+C70-C75,0)</f>
        <v/>
      </c>
      <c r="D77" s="252" t="n"/>
      <c r="E77" s="252">
        <f>IFERROR(E61+E70-E75,0)</f>
        <v/>
      </c>
      <c r="F77" s="252" t="n"/>
      <c r="G77" s="252">
        <f>IFERROR(G61+G70-G75,0)</f>
        <v/>
      </c>
      <c r="H77" s="252" t="n"/>
      <c r="I77" s="252">
        <f>IFERROR(I61+I70-I75,0)</f>
        <v/>
      </c>
      <c r="J77" s="252" t="n"/>
      <c r="K77" s="252">
        <f>IFERROR(K61+K70-K75,0)</f>
        <v/>
      </c>
      <c r="L77" s="252" t="n"/>
      <c r="M77" s="252">
        <f>IFERROR(M61+M70-M75,0)</f>
        <v/>
      </c>
      <c r="N77" s="252" t="n"/>
      <c r="O77" s="252">
        <f>IFERROR(O61+O70-O75,0)</f>
        <v/>
      </c>
      <c r="P77" s="252" t="n"/>
      <c r="Q77" s="252">
        <f>IFERROR(Q61+Q70-Q75,0)</f>
        <v/>
      </c>
      <c r="R77" s="252" t="n"/>
      <c r="S77" s="252">
        <f>IFERROR(S61+S70-S75,0)</f>
        <v/>
      </c>
      <c r="T77" s="252" t="n"/>
      <c r="U77" s="252">
        <f>IFERROR(U61+U70-U75,0)</f>
        <v/>
      </c>
      <c r="V77" s="252" t="n"/>
      <c r="W77" s="252">
        <f>IFERROR(W61+W70-W75,0)</f>
        <v/>
      </c>
      <c r="X77" s="252" t="n"/>
      <c r="Y77" s="252">
        <f>IFERROR(Y61+Y70-Y75,0)</f>
        <v/>
      </c>
      <c r="Z77" s="252" t="n"/>
      <c r="AA77" s="252">
        <f>Y77</f>
        <v/>
      </c>
      <c r="AB77" s="187" t="n"/>
    </row>
    <row r="78">
      <c r="B78" s="140" t="n"/>
      <c r="C78" s="296" t="n"/>
      <c r="D78" s="296" t="n"/>
      <c r="E78" s="296" t="n"/>
      <c r="F78" s="296" t="n"/>
      <c r="G78" s="296" t="n"/>
      <c r="H78" s="296" t="n"/>
      <c r="I78" s="296" t="n"/>
      <c r="J78" s="296" t="n"/>
      <c r="K78" s="296" t="n"/>
      <c r="L78" s="296" t="n"/>
      <c r="M78" s="296" t="n"/>
      <c r="N78" s="296" t="n"/>
      <c r="O78" s="296" t="n"/>
      <c r="P78" s="296" t="n"/>
      <c r="Q78" s="296" t="n"/>
      <c r="R78" s="296" t="n"/>
      <c r="S78" s="296" t="n"/>
      <c r="T78" s="296" t="n"/>
      <c r="U78" s="296" t="n"/>
      <c r="V78" s="296" t="n"/>
      <c r="W78" s="296" t="n"/>
      <c r="X78" s="296" t="n"/>
      <c r="Y78" s="296" t="n"/>
      <c r="Z78" s="296" t="n"/>
      <c r="AA78" s="297" t="n"/>
      <c r="AB78" s="298" t="n"/>
      <c r="AC78" s="299" t="n"/>
      <c r="AE78" s="277" t="n"/>
      <c r="AF78" s="277" t="n"/>
      <c r="AG78" s="277" t="n"/>
    </row>
    <row r="79" ht="15" customHeight="1">
      <c r="A79" s="75" t="n"/>
      <c r="B79" s="174" t="inlineStr">
        <is>
          <t>COMPENSAÇÕES</t>
        </is>
      </c>
      <c r="C79" s="300" t="n"/>
      <c r="D79" s="300" t="n"/>
      <c r="E79" s="300" t="n"/>
      <c r="F79" s="300" t="n"/>
      <c r="G79" s="300" t="n"/>
      <c r="H79" s="300" t="n"/>
      <c r="I79" s="300" t="n"/>
      <c r="J79" s="300" t="n"/>
      <c r="K79" s="300" t="n"/>
      <c r="L79" s="300" t="n"/>
      <c r="M79" s="300" t="n"/>
      <c r="N79" s="300" t="n"/>
      <c r="O79" s="300" t="n"/>
      <c r="P79" s="300" t="n"/>
      <c r="Q79" s="300" t="n"/>
      <c r="R79" s="300" t="n"/>
      <c r="S79" s="300" t="n"/>
      <c r="T79" s="300" t="n"/>
      <c r="U79" s="300" t="n"/>
      <c r="V79" s="300" t="n"/>
      <c r="W79" s="300" t="n"/>
      <c r="X79" s="300" t="n"/>
      <c r="Y79" s="300" t="n"/>
      <c r="Z79" s="300" t="n"/>
      <c r="AA79" s="301" t="n"/>
      <c r="AB79" s="302" t="n"/>
    </row>
    <row r="80" ht="15" customFormat="1" customHeight="1" s="248">
      <c r="A80" s="303" t="n"/>
      <c r="B80" s="304" t="inlineStr">
        <is>
          <t>Prejuízo Acumulado (Período Anterior)</t>
        </is>
      </c>
      <c r="C80" s="288" t="n">
        <v>0</v>
      </c>
      <c r="D80" s="288" t="n"/>
      <c r="E80" s="288" t="n">
        <v>0</v>
      </c>
      <c r="F80" s="288" t="n"/>
      <c r="G80" s="288" t="n">
        <v>0</v>
      </c>
      <c r="H80" s="288" t="n"/>
      <c r="I80" s="288" t="n">
        <v>0</v>
      </c>
      <c r="J80" s="288" t="n"/>
      <c r="K80" s="288" t="n">
        <v>0</v>
      </c>
      <c r="L80" s="288" t="n"/>
      <c r="M80" s="288" t="n">
        <v>0</v>
      </c>
      <c r="N80" s="288" t="n"/>
      <c r="O80" s="288" t="n">
        <v>0</v>
      </c>
      <c r="P80" s="288" t="n"/>
      <c r="Q80" s="288" t="n">
        <v>0</v>
      </c>
      <c r="R80" s="288" t="n"/>
      <c r="S80" s="288" t="n">
        <v>0</v>
      </c>
      <c r="T80" s="288" t="n"/>
      <c r="U80" s="288" t="n">
        <v>0</v>
      </c>
      <c r="V80" s="288" t="n"/>
      <c r="W80" s="288" t="n">
        <v>0</v>
      </c>
      <c r="X80" s="288" t="n"/>
      <c r="Y80" s="288" t="n">
        <v>0</v>
      </c>
      <c r="Z80" s="288" t="n"/>
      <c r="AA80" s="248">
        <f>Y80</f>
        <v/>
      </c>
      <c r="AB80" s="290" t="n"/>
    </row>
    <row r="81" ht="15" customFormat="1" customHeight="1" s="248">
      <c r="A81" s="303" t="n"/>
      <c r="B81" s="304" t="inlineStr">
        <is>
          <t>Prejuízo do Período</t>
        </is>
      </c>
      <c r="C81" s="288">
        <f>IF(C77&lt;0,C77,0)*1</f>
        <v/>
      </c>
      <c r="D81" s="288" t="n"/>
      <c r="E81" s="288">
        <f>IF(E77&lt;0,E77,0)*1</f>
        <v/>
      </c>
      <c r="F81" s="288" t="n"/>
      <c r="G81" s="288">
        <f>IF(G77&lt;0,G77,0)*1</f>
        <v/>
      </c>
      <c r="H81" s="288" t="n"/>
      <c r="I81" s="288">
        <f>IF(I77&lt;0,I77,0)*1</f>
        <v/>
      </c>
      <c r="J81" s="288" t="n"/>
      <c r="K81" s="288">
        <f>IF(K77&lt;0,K77,0)*1</f>
        <v/>
      </c>
      <c r="L81" s="288" t="n"/>
      <c r="M81" s="288">
        <f>IF(M77&lt;0,M77,0)*1</f>
        <v/>
      </c>
      <c r="N81" s="288" t="n"/>
      <c r="O81" s="288">
        <f>IF(O77&lt;0,O77,0)*1</f>
        <v/>
      </c>
      <c r="P81" s="288" t="n"/>
      <c r="Q81" s="288">
        <f>IF(Q77&lt;0,Q77,0)*1</f>
        <v/>
      </c>
      <c r="R81" s="288" t="n"/>
      <c r="S81" s="288">
        <f>IF(S77&lt;0,S77,0)*1</f>
        <v/>
      </c>
      <c r="T81" s="288" t="n"/>
      <c r="U81" s="288">
        <f>IF(U77&lt;0,U77,0)*1</f>
        <v/>
      </c>
      <c r="V81" s="288" t="n"/>
      <c r="W81" s="288">
        <f>IF(W77&lt;0,W77,0)*1</f>
        <v/>
      </c>
      <c r="X81" s="288" t="n"/>
      <c r="Y81" s="288">
        <f>IF(Y77&lt;0,Y77,0)*1</f>
        <v/>
      </c>
      <c r="Z81" s="288" t="n"/>
      <c r="AA81" s="248">
        <f>Y81</f>
        <v/>
      </c>
      <c r="AB81" s="290" t="n"/>
    </row>
    <row r="82" ht="15" customFormat="1" customHeight="1" s="248">
      <c r="A82" s="303" t="n"/>
      <c r="B82" s="304" t="inlineStr">
        <is>
          <t>(-) Compensação do Prejuízo (Limite de 30% s/ Lucro)</t>
        </is>
      </c>
      <c r="C82" s="257">
        <f>IF(C77&gt;0,IF(IF(C77&gt;0,C77*0.3,0)&lt;C80,IF(C77&gt;0,C77*0.3,0),C80),0)</f>
        <v/>
      </c>
      <c r="D82" s="257" t="n"/>
      <c r="E82" s="257">
        <f>IFERROR(IF(E77&gt;0,IF(IF(E77&gt;0,E77*0.3,0)&lt;E80,IF(E77&gt;0,E77*0.3,0),E80),0),0)</f>
        <v/>
      </c>
      <c r="F82" s="257" t="n"/>
      <c r="G82" s="257">
        <f>IFERROR(IF(G77&gt;0,IF(IF(G77&gt;0,G77*0.3,0)&lt;G80,IF(G77&gt;0,G77*0.3,0),G80),0),0)</f>
        <v/>
      </c>
      <c r="H82" s="257" t="n"/>
      <c r="I82" s="257">
        <f>IFERROR(IF(I77&gt;0,IF(IF(I77&gt;0,I77*0.3,0)&lt;I80,IF(I77&gt;0,I77*0.3,0),I80),0),0)</f>
        <v/>
      </c>
      <c r="J82" s="257" t="n"/>
      <c r="K82" s="257">
        <f>IFERROR(IF(K77&gt;0,IF(IF(K77&gt;0,K77*0.3,0)&lt;K80,IF(K77&gt;0,K77*0.3,0),K80),0),0)</f>
        <v/>
      </c>
      <c r="L82" s="257" t="n"/>
      <c r="M82" s="257">
        <f>IFERROR(IF(M77&gt;0,IF(IF(M77&gt;0,M77*0.3,0)&lt;M80,IF(M77&gt;0,M77*0.3,0),M80),0),0)</f>
        <v/>
      </c>
      <c r="N82" s="257" t="n"/>
      <c r="O82" s="257">
        <f>IFERROR(IF(O77&gt;0,IF(IF(O77&gt;0,O77*0.3,0)&lt;O80,IF(O77&gt;0,O77*0.3,0),O80),0),0)</f>
        <v/>
      </c>
      <c r="P82" s="257" t="n"/>
      <c r="Q82" s="257">
        <f>IFERROR(IF(Q77&gt;0,IF(IF(Q77&gt;0,Q77*0.3,0)&lt;Q80,IF(Q77&gt;0,Q77*0.3,0),Q80),0),0)</f>
        <v/>
      </c>
      <c r="R82" s="257" t="n"/>
      <c r="S82" s="257">
        <f>IFERROR(IF(S77&gt;0,IF(IF(S77&gt;0,S77*0.3,0)&lt;S80,IF(S77&gt;0,S77*0.3,0),S80),0),0)</f>
        <v/>
      </c>
      <c r="T82" s="257" t="n"/>
      <c r="U82" s="257">
        <f>IFERROR(IF(U77&gt;0,IF(IF(U77&gt;0,U77*0.3,0)&lt;U80,IF(U77&gt;0,U77*0.3,0),U80),0),0)</f>
        <v/>
      </c>
      <c r="V82" s="257" t="n"/>
      <c r="W82" s="257">
        <f>IFERROR(IF(W77&gt;0,IF(IF(W77&gt;0,W77*0.3,0)&lt;W80,IF(W77&gt;0,W77*0.3,0),W80),0),0)</f>
        <v/>
      </c>
      <c r="X82" s="257" t="n"/>
      <c r="Y82" s="257">
        <f>IFERROR(IF(Y77&gt;0,IF(IF(Y77&gt;0,Y77*0.3,0)&lt;Y80,IF(Y77&gt;0,Y77*0.3,0),Y80),0),0)</f>
        <v/>
      </c>
      <c r="Z82" s="257" t="n"/>
      <c r="AA82" s="248">
        <f>Y82</f>
        <v/>
      </c>
      <c r="AB82" s="305" t="n"/>
      <c r="AD82" s="306" t="n"/>
      <c r="AE82" s="306" t="n"/>
      <c r="AF82" s="306" t="n"/>
      <c r="AG82" s="306" t="n"/>
    </row>
    <row r="83" ht="15" customFormat="1" customHeight="1" s="248">
      <c r="A83" s="303" t="n"/>
      <c r="B83" s="304" t="inlineStr">
        <is>
          <t>Prejuízo disponível à compensar</t>
        </is>
      </c>
      <c r="C83" s="257">
        <f>C80+C81-C82</f>
        <v/>
      </c>
      <c r="D83" s="257" t="n"/>
      <c r="E83" s="257">
        <f>E80+E81-E82</f>
        <v/>
      </c>
      <c r="F83" s="257" t="n"/>
      <c r="G83" s="257">
        <f>G80+G81-G82</f>
        <v/>
      </c>
      <c r="H83" s="257" t="n"/>
      <c r="I83" s="257">
        <f>I80+I81-I82</f>
        <v/>
      </c>
      <c r="J83" s="257" t="n"/>
      <c r="K83" s="257">
        <f>K80+K81-K82</f>
        <v/>
      </c>
      <c r="L83" s="257" t="n"/>
      <c r="M83" s="257">
        <f>M80+M81-M82</f>
        <v/>
      </c>
      <c r="N83" s="257" t="n"/>
      <c r="O83" s="257">
        <f>O80+O81-O82</f>
        <v/>
      </c>
      <c r="P83" s="257" t="n"/>
      <c r="Q83" s="257">
        <f>Q80+Q81-Q82</f>
        <v/>
      </c>
      <c r="R83" s="257" t="n"/>
      <c r="S83" s="257">
        <f>S80+S81-S82</f>
        <v/>
      </c>
      <c r="T83" s="257" t="n"/>
      <c r="U83" s="257">
        <f>U80+U81-U82</f>
        <v/>
      </c>
      <c r="V83" s="257" t="n"/>
      <c r="W83" s="257">
        <f>W80+W81-W82</f>
        <v/>
      </c>
      <c r="X83" s="257" t="n"/>
      <c r="Y83" s="257">
        <f>Y80+Y81-Y82</f>
        <v/>
      </c>
      <c r="Z83" s="257" t="n"/>
      <c r="AA83" s="257">
        <f>Y83</f>
        <v/>
      </c>
      <c r="AB83" s="305" t="n"/>
    </row>
    <row r="84" ht="15" customHeight="1">
      <c r="A84" s="75" t="n"/>
      <c r="B84" s="174" t="n"/>
      <c r="C84" s="300" t="n"/>
      <c r="D84" s="300" t="n"/>
      <c r="E84" s="300" t="n"/>
      <c r="F84" s="300" t="n"/>
      <c r="G84" s="300" t="n"/>
      <c r="H84" s="300" t="n"/>
      <c r="I84" s="300" t="n"/>
      <c r="J84" s="300" t="n"/>
      <c r="K84" s="300" t="n"/>
      <c r="L84" s="300" t="n"/>
      <c r="M84" s="300" t="n"/>
      <c r="N84" s="300" t="n"/>
      <c r="O84" s="300" t="n"/>
      <c r="P84" s="300" t="n"/>
      <c r="Q84" s="300" t="n"/>
      <c r="R84" s="300" t="n"/>
      <c r="S84" s="300" t="n"/>
      <c r="T84" s="300" t="n"/>
      <c r="U84" s="300" t="n"/>
      <c r="V84" s="300" t="n"/>
      <c r="W84" s="300" t="n"/>
      <c r="X84" s="300" t="n"/>
      <c r="Y84" s="300" t="n"/>
      <c r="Z84" s="300" t="n"/>
      <c r="AA84" s="301" t="n"/>
      <c r="AB84" s="302" t="n"/>
      <c r="AE84" s="8" t="n"/>
    </row>
    <row r="85" ht="15" customFormat="1" customHeight="1" s="265">
      <c r="A85" s="266" t="n"/>
      <c r="B85" s="267" t="inlineStr">
        <is>
          <t>Base de Cálculo</t>
        </is>
      </c>
      <c r="C85" s="252">
        <f>IFERROR(C77-C82,0)</f>
        <v/>
      </c>
      <c r="D85" s="252" t="n"/>
      <c r="E85" s="252">
        <f>IFERROR(E77-E82,0)</f>
        <v/>
      </c>
      <c r="F85" s="252" t="n"/>
      <c r="G85" s="252">
        <f>IFERROR(G77-G82,0)</f>
        <v/>
      </c>
      <c r="H85" s="252" t="n"/>
      <c r="I85" s="252">
        <f>IFERROR(I77-I82,0)</f>
        <v/>
      </c>
      <c r="J85" s="252" t="n"/>
      <c r="K85" s="252">
        <f>IFERROR(K77-K82,0)</f>
        <v/>
      </c>
      <c r="L85" s="252" t="n"/>
      <c r="M85" s="252">
        <f>IFERROR(M77-M82,0)</f>
        <v/>
      </c>
      <c r="N85" s="252" t="n"/>
      <c r="O85" s="252">
        <f>IFERROR(O77-O82,0)</f>
        <v/>
      </c>
      <c r="P85" s="252" t="n"/>
      <c r="Q85" s="252">
        <f>IFERROR(Q77-Q82,0)</f>
        <v/>
      </c>
      <c r="R85" s="252" t="n"/>
      <c r="S85" s="252">
        <f>IFERROR(S77-S82,0)</f>
        <v/>
      </c>
      <c r="T85" s="252" t="n"/>
      <c r="U85" s="252">
        <f>IFERROR(U77-U82,0)</f>
        <v/>
      </c>
      <c r="V85" s="252" t="n"/>
      <c r="W85" s="252">
        <f>IFERROR(W77-W82,0)</f>
        <v/>
      </c>
      <c r="X85" s="252" t="n"/>
      <c r="Y85" s="252">
        <f>IFERROR(Y77-Y82,0)</f>
        <v/>
      </c>
      <c r="Z85" s="252" t="n"/>
      <c r="AA85" s="252">
        <f>AA77-AA82</f>
        <v/>
      </c>
      <c r="AB85" s="253" t="n"/>
    </row>
    <row r="86" ht="12.75" customHeight="1">
      <c r="B86" s="198" t="n"/>
      <c r="C86" s="307" t="n"/>
      <c r="D86" s="307" t="n"/>
      <c r="E86" s="296" t="n"/>
      <c r="F86" s="307" t="n"/>
      <c r="G86" s="296" t="n"/>
      <c r="H86" s="307" t="n"/>
      <c r="I86" s="296" t="n"/>
      <c r="J86" s="307" t="n"/>
      <c r="K86" s="296" t="n"/>
      <c r="L86" s="307" t="n"/>
      <c r="M86" s="296" t="n"/>
      <c r="N86" s="307" t="n"/>
      <c r="O86" s="296" t="n"/>
      <c r="P86" s="307" t="n"/>
      <c r="Q86" s="296" t="n"/>
      <c r="R86" s="307" t="n"/>
      <c r="S86" s="296" t="n"/>
      <c r="T86" s="307" t="n"/>
      <c r="U86" s="296" t="n"/>
      <c r="V86" s="307" t="n"/>
      <c r="W86" s="296" t="n"/>
      <c r="X86" s="307" t="n"/>
      <c r="Y86" s="296" t="n"/>
      <c r="Z86" s="307" t="n"/>
      <c r="AA86" s="297" t="n"/>
      <c r="AB86" s="308" t="n"/>
      <c r="AD86" s="17" t="n"/>
    </row>
    <row r="87" ht="12.75" customHeight="1">
      <c r="B87" s="198" t="n"/>
      <c r="C87" s="307" t="n"/>
      <c r="D87" s="307" t="n"/>
      <c r="E87" s="296" t="n"/>
      <c r="F87" s="307" t="n"/>
      <c r="G87" s="296" t="n"/>
      <c r="H87" s="307" t="n"/>
      <c r="I87" s="296" t="n"/>
      <c r="J87" s="307" t="n"/>
      <c r="K87" s="296" t="n"/>
      <c r="L87" s="307" t="n"/>
      <c r="M87" s="296" t="n"/>
      <c r="N87" s="307" t="n"/>
      <c r="O87" s="296" t="n"/>
      <c r="P87" s="307" t="n"/>
      <c r="Q87" s="296" t="n"/>
      <c r="R87" s="307" t="n"/>
      <c r="S87" s="296" t="n"/>
      <c r="T87" s="307" t="n"/>
      <c r="U87" s="296" t="n"/>
      <c r="V87" s="307" t="n"/>
      <c r="W87" s="296" t="n"/>
      <c r="X87" s="307" t="n"/>
      <c r="Y87" s="296" t="n"/>
      <c r="Z87" s="307" t="n"/>
      <c r="AA87" s="297" t="n"/>
      <c r="AB87" s="308" t="n"/>
      <c r="AD87" s="17" t="n"/>
    </row>
    <row r="88" ht="15" customHeight="1">
      <c r="A88" s="75" t="n"/>
      <c r="B88" s="174" t="inlineStr">
        <is>
          <t>APURAÇÃO IRPJ</t>
        </is>
      </c>
      <c r="C88" s="300" t="n"/>
      <c r="D88" s="300" t="n"/>
      <c r="E88" s="300" t="n"/>
      <c r="F88" s="300" t="n"/>
      <c r="G88" s="300" t="n"/>
      <c r="H88" s="300" t="n"/>
      <c r="I88" s="300" t="n"/>
      <c r="J88" s="300" t="n"/>
      <c r="K88" s="300" t="n"/>
      <c r="L88" s="300" t="n"/>
      <c r="M88" s="300" t="n"/>
      <c r="N88" s="300" t="n"/>
      <c r="O88" s="300" t="n"/>
      <c r="P88" s="300" t="n"/>
      <c r="Q88" s="300" t="n"/>
      <c r="R88" s="300" t="n"/>
      <c r="S88" s="300" t="n"/>
      <c r="T88" s="300" t="n"/>
      <c r="U88" s="300" t="n"/>
      <c r="V88" s="300" t="n"/>
      <c r="W88" s="300" t="n"/>
      <c r="X88" s="300" t="n"/>
      <c r="Y88" s="300" t="n"/>
      <c r="Z88" s="300" t="n"/>
      <c r="AA88" s="301" t="n"/>
      <c r="AB88" s="302" t="n"/>
    </row>
    <row r="89" ht="15" customHeight="1">
      <c r="A89" s="75" t="n"/>
      <c r="B89" s="201" t="inlineStr">
        <is>
          <t>À Alíquota de 15%</t>
        </is>
      </c>
      <c r="C89" s="257">
        <f>IFERROR(IF(C85&gt;0,C85*15%,0),0)</f>
        <v/>
      </c>
      <c r="D89" s="257" t="n"/>
      <c r="E89" s="257">
        <f>IFERROR(IF(E85&gt;0,E85*15%,0),0)</f>
        <v/>
      </c>
      <c r="F89" s="257" t="n"/>
      <c r="G89" s="257">
        <f>IFERROR(IF(G85&gt;0,G85*15%,0),0)</f>
        <v/>
      </c>
      <c r="H89" s="257" t="n"/>
      <c r="I89" s="257">
        <f>IFERROR(IF(I85&gt;0,I85*15%,0),0)</f>
        <v/>
      </c>
      <c r="J89" s="257" t="n"/>
      <c r="K89" s="257">
        <f>IFERROR(IF(K85&gt;0,K85*15%,0),0)</f>
        <v/>
      </c>
      <c r="L89" s="257" t="n"/>
      <c r="M89" s="257">
        <f>IFERROR(IF(M85&gt;0,M85*15%,0),0)</f>
        <v/>
      </c>
      <c r="N89" s="257" t="n"/>
      <c r="O89" s="257">
        <f>IFERROR(IF(O85&gt;0,O85*15%,0),0)</f>
        <v/>
      </c>
      <c r="P89" s="257" t="n"/>
      <c r="Q89" s="257">
        <f>IFERROR(IF(Q85&gt;0,Q85*15%,0),0)</f>
        <v/>
      </c>
      <c r="R89" s="257" t="n"/>
      <c r="S89" s="257">
        <f>IFERROR(IF(S85&gt;0,S85*15%,0),0)</f>
        <v/>
      </c>
      <c r="T89" s="257" t="n"/>
      <c r="U89" s="257">
        <f>IFERROR(IF(U85&gt;0,U85*15%,0),0)</f>
        <v/>
      </c>
      <c r="V89" s="257" t="n"/>
      <c r="W89" s="257">
        <f>IFERROR(IF(W85&gt;0,W85*15%,0),0)</f>
        <v/>
      </c>
      <c r="X89" s="257" t="n"/>
      <c r="Y89" s="257">
        <f>IFERROR(IF(Y85&gt;0,Y85*15%,0),0)</f>
        <v/>
      </c>
      <c r="Z89" s="257" t="n"/>
      <c r="AA89" s="248">
        <f>Y89</f>
        <v/>
      </c>
      <c r="AB89" s="305" t="n"/>
      <c r="AC89" s="270" t="n"/>
    </row>
    <row r="90" ht="15" customHeight="1">
      <c r="A90" s="75" t="n"/>
      <c r="B90" s="201" t="inlineStr">
        <is>
          <t>Adicional 10%</t>
        </is>
      </c>
      <c r="C90" s="257">
        <f>IFERROR(IF((C85-20000)*10%&gt;0,(C85-20000)*10%,0),0)</f>
        <v/>
      </c>
      <c r="D90" s="257" t="n"/>
      <c r="E90" s="257">
        <f>IFERROR(IF((E85-40000)*10%&gt;0,(E85-40000)*10%,0),0)</f>
        <v/>
      </c>
      <c r="F90" s="257" t="n"/>
      <c r="G90" s="257">
        <f>IFERROR(IF((G85-60000)*10%&gt;0,(G85-26000)*10%,0),0)</f>
        <v/>
      </c>
      <c r="H90" s="257" t="n"/>
      <c r="I90" s="257">
        <f>IFERROR(IF((I85-80000)*10%&gt;0,(I85-80000)*10%,0),0)</f>
        <v/>
      </c>
      <c r="J90" s="257" t="n"/>
      <c r="K90" s="257">
        <f>IFERROR(IF((K85-100000)*10%&gt;0,(K85-100000)*10%,0),0)</f>
        <v/>
      </c>
      <c r="L90" s="257" t="n"/>
      <c r="M90" s="257">
        <f>IFERROR(IF((M85-120000)*10%&gt;0,(M85-120000)*10%,0),0)</f>
        <v/>
      </c>
      <c r="N90" s="257" t="n"/>
      <c r="O90" s="257">
        <f>IFERROR(IF((O85-140000)*10%&gt;0,(I65140000)*10%,0),0)</f>
        <v/>
      </c>
      <c r="P90" s="257" t="n"/>
      <c r="Q90" s="257">
        <f>IFERROR(IF((Q85-160000)*10%&gt;0,(Q85-160000)*10%,0),0)</f>
        <v/>
      </c>
      <c r="R90" s="257" t="n"/>
      <c r="S90" s="257">
        <f>IFERROR(IF((S85-180000)*10%&gt;0,(S85-180000)*10%,0),0)</f>
        <v/>
      </c>
      <c r="T90" s="257" t="n"/>
      <c r="U90" s="257">
        <f>IFERROR(IF((U85-20000)*10%&gt;0,(U85-20000)*10%,0),0)</f>
        <v/>
      </c>
      <c r="V90" s="257" t="n"/>
      <c r="W90" s="257">
        <f>IFERROR(IF((W85-20000)*10%&gt;0,(W85-20000)*10%,0),0)</f>
        <v/>
      </c>
      <c r="X90" s="257" t="n"/>
      <c r="Y90" s="257">
        <f>IFERROR(IF((Y85-120000)*10%&gt;0,(Y85-120000)*10%,0),0)</f>
        <v/>
      </c>
      <c r="Z90" s="257" t="n"/>
      <c r="AA90" s="248">
        <f>Y90</f>
        <v/>
      </c>
      <c r="AB90" s="305" t="n"/>
      <c r="AC90" s="265" t="n"/>
    </row>
    <row r="91" ht="15" customHeight="1">
      <c r="A91" s="75" t="n"/>
      <c r="B91" s="188" t="n"/>
      <c r="C91" s="300" t="n"/>
      <c r="D91" s="300" t="n"/>
      <c r="E91" s="300" t="n"/>
      <c r="F91" s="300" t="n"/>
      <c r="G91" s="300" t="n"/>
      <c r="H91" s="300" t="n"/>
      <c r="I91" s="300" t="n"/>
      <c r="J91" s="300" t="n"/>
      <c r="K91" s="300" t="n"/>
      <c r="L91" s="300" t="n"/>
      <c r="M91" s="300" t="n"/>
      <c r="N91" s="300" t="n"/>
      <c r="O91" s="300" t="n"/>
      <c r="P91" s="300" t="n"/>
      <c r="Q91" s="300" t="n"/>
      <c r="R91" s="300" t="n"/>
      <c r="S91" s="300" t="n"/>
      <c r="T91" s="300" t="n"/>
      <c r="U91" s="300" t="n"/>
      <c r="V91" s="300" t="n"/>
      <c r="W91" s="300" t="n"/>
      <c r="X91" s="300" t="n"/>
      <c r="Y91" s="300" t="n"/>
      <c r="Z91" s="300" t="n"/>
      <c r="AA91" s="301" t="n"/>
      <c r="AB91" s="302" t="n"/>
      <c r="AC91" s="270" t="n"/>
      <c r="AE91" s="270" t="n"/>
    </row>
    <row r="92" ht="15" customHeight="1">
      <c r="A92" s="75" t="n"/>
      <c r="B92" s="134" t="inlineStr">
        <is>
          <t>Imposto de Renda Acumulado</t>
        </is>
      </c>
      <c r="C92" s="257">
        <f>C89+C90</f>
        <v/>
      </c>
      <c r="D92" s="257" t="n"/>
      <c r="E92" s="257">
        <f>E89+E90</f>
        <v/>
      </c>
      <c r="F92" s="257" t="n"/>
      <c r="G92" s="257">
        <f>G89+G90</f>
        <v/>
      </c>
      <c r="H92" s="257" t="n"/>
      <c r="I92" s="257">
        <f>I89+I90</f>
        <v/>
      </c>
      <c r="J92" s="257" t="n"/>
      <c r="K92" s="257">
        <f>K89+K90</f>
        <v/>
      </c>
      <c r="L92" s="257" t="n"/>
      <c r="M92" s="257">
        <f>M89+M90</f>
        <v/>
      </c>
      <c r="N92" s="257" t="n"/>
      <c r="O92" s="257">
        <f>O89+O90</f>
        <v/>
      </c>
      <c r="P92" s="257" t="n"/>
      <c r="Q92" s="257">
        <f>Q89+Q90</f>
        <v/>
      </c>
      <c r="R92" s="257" t="n"/>
      <c r="S92" s="257">
        <f>S89+S90</f>
        <v/>
      </c>
      <c r="T92" s="257" t="n"/>
      <c r="U92" s="257">
        <f>U89+U90</f>
        <v/>
      </c>
      <c r="V92" s="257" t="n"/>
      <c r="W92" s="257">
        <f>W89+W90</f>
        <v/>
      </c>
      <c r="X92" s="257" t="n"/>
      <c r="Y92" s="257">
        <f>Y89+Y90</f>
        <v/>
      </c>
      <c r="Z92" s="257" t="n"/>
      <c r="AA92" s="248">
        <f>Y92</f>
        <v/>
      </c>
      <c r="AB92" s="305" t="n"/>
      <c r="AE92" s="309" t="n"/>
    </row>
    <row r="93" ht="15" customFormat="1" customHeight="1" s="48">
      <c r="B93" s="146" t="inlineStr">
        <is>
          <t>IR Retido</t>
        </is>
      </c>
      <c r="C93" s="261" t="n">
        <v>0</v>
      </c>
      <c r="D93" s="261" t="n"/>
      <c r="E93" s="261">
        <f>C93</f>
        <v/>
      </c>
      <c r="F93" s="261" t="n"/>
      <c r="G93" s="261">
        <f>E93</f>
        <v/>
      </c>
      <c r="H93" s="261" t="n"/>
      <c r="I93" s="261">
        <f>G93</f>
        <v/>
      </c>
      <c r="J93" s="261" t="n"/>
      <c r="K93" s="261">
        <f>I93</f>
        <v/>
      </c>
      <c r="L93" s="261" t="n"/>
      <c r="M93" s="261">
        <f>K93</f>
        <v/>
      </c>
      <c r="N93" s="261" t="n"/>
      <c r="O93" s="261">
        <f>M93</f>
        <v/>
      </c>
      <c r="P93" s="261" t="n"/>
      <c r="Q93" s="261">
        <f>O93</f>
        <v/>
      </c>
      <c r="R93" s="261" t="n"/>
      <c r="S93" s="261">
        <f>Q93</f>
        <v/>
      </c>
      <c r="T93" s="261" t="n"/>
      <c r="U93" s="261">
        <f>S93</f>
        <v/>
      </c>
      <c r="V93" s="261" t="n"/>
      <c r="W93" s="261">
        <f>U93</f>
        <v/>
      </c>
      <c r="X93" s="261" t="n"/>
      <c r="Y93" s="261">
        <f>W93</f>
        <v/>
      </c>
      <c r="Z93" s="261" t="n"/>
      <c r="AA93" s="310">
        <f>Y93</f>
        <v/>
      </c>
      <c r="AB93" s="262" t="n"/>
    </row>
    <row r="94" ht="15" customHeight="1">
      <c r="A94" s="75" t="n"/>
      <c r="B94" s="206" t="inlineStr">
        <is>
          <t>IRPJ pago antecipadamente</t>
        </is>
      </c>
      <c r="C94" s="261" t="n">
        <v>0</v>
      </c>
      <c r="D94" s="261" t="n"/>
      <c r="E94" s="261">
        <f>C95</f>
        <v/>
      </c>
      <c r="F94" s="261" t="n"/>
      <c r="G94" s="261">
        <f>C95+E95</f>
        <v/>
      </c>
      <c r="H94" s="261" t="n"/>
      <c r="I94" s="261">
        <f>C95+E95+G95</f>
        <v/>
      </c>
      <c r="J94" s="261" t="n"/>
      <c r="K94" s="261">
        <f>SUM(C95:I95)</f>
        <v/>
      </c>
      <c r="L94" s="261" t="n"/>
      <c r="M94" s="261">
        <f>SUM(C95:I95)</f>
        <v/>
      </c>
      <c r="N94" s="261" t="n"/>
      <c r="O94" s="257">
        <f>SUM(C95:I95)</f>
        <v/>
      </c>
      <c r="P94" s="261" t="n"/>
      <c r="Q94" s="257">
        <f>SUM(C95:I95)</f>
        <v/>
      </c>
      <c r="R94" s="261" t="n"/>
      <c r="S94" s="257">
        <f>SUM(C95:I95)</f>
        <v/>
      </c>
      <c r="T94" s="261" t="n"/>
      <c r="U94" s="257">
        <f>SUM(C95:I95)</f>
        <v/>
      </c>
      <c r="V94" s="261" t="n"/>
      <c r="W94" s="257">
        <f>SUM(C95:I95)</f>
        <v/>
      </c>
      <c r="X94" s="261" t="n"/>
      <c r="Y94" s="257">
        <f>SUM(C95:I95)</f>
        <v/>
      </c>
      <c r="Z94" s="261" t="n"/>
      <c r="AA94" s="257" t="n">
        <v>0</v>
      </c>
      <c r="AB94" s="262" t="n"/>
    </row>
    <row r="95" thickBot="1">
      <c r="A95" s="75" t="n"/>
      <c r="B95" s="207" t="inlineStr">
        <is>
          <t>IMPOSTO DE RENDA À RECOLHER NO PERÍODO</t>
        </is>
      </c>
      <c r="C95" s="311">
        <f>IF(C92-C93-C94&lt;0,0,C92-C93-C94)</f>
        <v/>
      </c>
      <c r="D95" s="311" t="n"/>
      <c r="E95" s="311">
        <f>IF(E92-E93-E94&lt;0,0,E92-E93-E94)</f>
        <v/>
      </c>
      <c r="F95" s="311" t="n"/>
      <c r="G95" s="311">
        <f>IF(G92-G93-G94&lt;0,0,G92-G93-G94)</f>
        <v/>
      </c>
      <c r="H95" s="311" t="n"/>
      <c r="I95" s="311">
        <f>IF(I92-I93-I94&lt;0,0,I92-I93-I94)</f>
        <v/>
      </c>
      <c r="J95" s="311" t="n"/>
      <c r="K95" s="311">
        <f>IF(K92-K93-K94&lt;0,0,K92-K93-K94)</f>
        <v/>
      </c>
      <c r="L95" s="311" t="n"/>
      <c r="M95" s="311">
        <f>IF(M92-M93-M94&lt;0,0,M92-M93-M94)</f>
        <v/>
      </c>
      <c r="N95" s="311" t="n"/>
      <c r="O95" s="311">
        <f>IF(O92-O93-O94&lt;0,0,O92-O93-O94)</f>
        <v/>
      </c>
      <c r="P95" s="311" t="n"/>
      <c r="Q95" s="311">
        <f>IF(Q92-Q93-Q94&lt;0,0,Q92-Q93-Q94)</f>
        <v/>
      </c>
      <c r="R95" s="311" t="n"/>
      <c r="S95" s="311">
        <f>IF(S92-S93-S94&lt;0,0,S92-S93-S94)</f>
        <v/>
      </c>
      <c r="T95" s="311" t="n"/>
      <c r="U95" s="311">
        <f>IF(U92-U93-U94&lt;0,0,U92-U93-U94)</f>
        <v/>
      </c>
      <c r="V95" s="311" t="n"/>
      <c r="W95" s="311">
        <f>IF(W92-W93-W94&lt;0,0,W92-W93-W94)</f>
        <v/>
      </c>
      <c r="X95" s="311" t="n"/>
      <c r="Y95" s="311">
        <f>IF(Y92-Y93-Y94&lt;0,0,Y92-Y93-Y94)</f>
        <v/>
      </c>
      <c r="Z95" s="311" t="n"/>
      <c r="AA95" s="311">
        <f>Y95</f>
        <v/>
      </c>
      <c r="AB95" s="312" t="n"/>
      <c r="AC95" s="254" t="n"/>
    </row>
    <row r="96" ht="17" customHeight="1" thickTop="1">
      <c r="B96" s="209" t="n"/>
      <c r="C96" s="313" t="n"/>
      <c r="D96" s="313" t="n"/>
      <c r="E96" s="313" t="n"/>
      <c r="F96" s="313" t="n"/>
      <c r="G96" s="313" t="n"/>
      <c r="H96" s="313" t="n"/>
      <c r="I96" s="313" t="n"/>
      <c r="J96" s="313" t="n"/>
      <c r="K96" s="313" t="n"/>
      <c r="L96" s="313" t="n"/>
      <c r="M96" s="313" t="n"/>
      <c r="N96" s="313" t="n"/>
      <c r="O96" s="313" t="n"/>
      <c r="P96" s="313" t="n"/>
      <c r="Q96" s="313" t="n"/>
      <c r="R96" s="313" t="n"/>
      <c r="S96" s="313" t="n"/>
      <c r="T96" s="313" t="n"/>
      <c r="U96" s="313" t="n"/>
      <c r="V96" s="313" t="n"/>
      <c r="W96" s="313" t="n"/>
      <c r="X96" s="313" t="n"/>
      <c r="Y96" s="313" t="n"/>
      <c r="Z96" s="313" t="n"/>
      <c r="AA96" s="313" t="n"/>
      <c r="AB96" s="314" t="n"/>
    </row>
    <row r="97" ht="15" customHeight="1">
      <c r="A97" s="75" t="n"/>
      <c r="B97" s="174" t="inlineStr">
        <is>
          <t>APURAÇÃO CSLL</t>
        </is>
      </c>
      <c r="C97" s="315" t="n"/>
      <c r="D97" s="315" t="n"/>
      <c r="E97" s="315" t="n"/>
      <c r="F97" s="315" t="n"/>
      <c r="G97" s="315" t="n"/>
      <c r="H97" s="315" t="n"/>
      <c r="I97" s="315" t="n"/>
      <c r="J97" s="315" t="n"/>
      <c r="K97" s="315" t="n"/>
      <c r="L97" s="315" t="n"/>
      <c r="M97" s="315" t="n"/>
      <c r="N97" s="315" t="n"/>
      <c r="O97" s="315" t="n"/>
      <c r="P97" s="315" t="n"/>
      <c r="Q97" s="315" t="n"/>
      <c r="R97" s="315" t="n"/>
      <c r="S97" s="315" t="n"/>
      <c r="T97" s="315" t="n"/>
      <c r="U97" s="315" t="n"/>
      <c r="V97" s="315" t="n"/>
      <c r="W97" s="315" t="n"/>
      <c r="X97" s="315" t="n"/>
      <c r="Y97" s="315" t="n"/>
      <c r="Z97" s="315" t="n"/>
      <c r="AA97" s="315" t="n"/>
      <c r="AB97" s="316" t="n"/>
    </row>
    <row r="98" ht="15" customHeight="1">
      <c r="A98" s="75" t="n"/>
      <c r="B98" s="201" t="inlineStr">
        <is>
          <t>Contribuição Social Acumulado</t>
        </is>
      </c>
      <c r="C98" s="257">
        <f>IFERROR(IF(C85&gt;0,C85*9%,0),0)</f>
        <v/>
      </c>
      <c r="D98" s="257" t="n"/>
      <c r="E98" s="257">
        <f>IFERROR(IF(E85&gt;0,E85*9%,0),0)</f>
        <v/>
      </c>
      <c r="F98" s="257" t="n"/>
      <c r="G98" s="257">
        <f>IFERROR(IF(G85&gt;0,G85*9%,0),0)</f>
        <v/>
      </c>
      <c r="H98" s="257" t="n"/>
      <c r="I98" s="257">
        <f>IFERROR(IF(I85&gt;0,I85*9%,0),0)</f>
        <v/>
      </c>
      <c r="J98" s="257" t="n"/>
      <c r="K98" s="257">
        <f>IFERROR(IF(K85&gt;0,K85*9%,0),0)</f>
        <v/>
      </c>
      <c r="L98" s="257" t="n"/>
      <c r="M98" s="257">
        <f>IFERROR(IF(M85&gt;0,M85*9%,0),0)</f>
        <v/>
      </c>
      <c r="N98" s="257" t="n"/>
      <c r="O98" s="257">
        <f>IFERROR(IF(O85&gt;0,O85*9%,0),0)</f>
        <v/>
      </c>
      <c r="P98" s="257" t="n"/>
      <c r="Q98" s="257">
        <f>IFERROR(IF(Q85&gt;0,Q85*9%,0),0)</f>
        <v/>
      </c>
      <c r="R98" s="257" t="n"/>
      <c r="S98" s="257">
        <f>IFERROR(IF(S85&gt;0,S85*9%,0),0)</f>
        <v/>
      </c>
      <c r="T98" s="257" t="n"/>
      <c r="U98" s="257">
        <f>IFERROR(IF(U85&gt;0,U85*9%,0),0)</f>
        <v/>
      </c>
      <c r="V98" s="257" t="n"/>
      <c r="W98" s="257">
        <f>IFERROR(IF(W85&gt;0,W85*9%,0),0)</f>
        <v/>
      </c>
      <c r="X98" s="257" t="n"/>
      <c r="Y98" s="257">
        <f>IFERROR(IF(Y85&gt;0,Y85*9%,0),0)</f>
        <v/>
      </c>
      <c r="Z98" s="257" t="n"/>
      <c r="AA98" s="257">
        <f>Y98</f>
        <v/>
      </c>
      <c r="AB98" s="305" t="n"/>
    </row>
    <row r="99" ht="15" customHeight="1">
      <c r="A99" s="75" t="n"/>
      <c r="B99" s="134" t="inlineStr">
        <is>
          <t>CS Retido</t>
        </is>
      </c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  <c r="AA99" s="248" t="n"/>
      <c r="AB99" s="305" t="n"/>
    </row>
    <row r="100" ht="15" customHeight="1">
      <c r="A100" s="75" t="n"/>
      <c r="B100" s="206" t="inlineStr">
        <is>
          <t>CSLL pago antecipadamente</t>
        </is>
      </c>
      <c r="C100" s="257" t="n">
        <v>0</v>
      </c>
      <c r="D100" s="257" t="n"/>
      <c r="E100" s="257">
        <f>C101</f>
        <v/>
      </c>
      <c r="F100" s="257" t="n"/>
      <c r="G100" s="257">
        <f>C101+E101</f>
        <v/>
      </c>
      <c r="H100" s="257" t="n"/>
      <c r="I100" s="257">
        <f>C101+E101+G101</f>
        <v/>
      </c>
      <c r="J100" s="257" t="n"/>
      <c r="K100" s="257">
        <f>SUM(C101:I101)</f>
        <v/>
      </c>
      <c r="L100" s="257" t="n"/>
      <c r="M100" s="257">
        <f>SUM(C101:I101)</f>
        <v/>
      </c>
      <c r="N100" s="257" t="n"/>
      <c r="O100" s="257">
        <f>SUM(C101:I101)</f>
        <v/>
      </c>
      <c r="P100" s="257" t="n"/>
      <c r="Q100" s="257">
        <f>SUM(C101:I101)</f>
        <v/>
      </c>
      <c r="R100" s="257" t="n"/>
      <c r="S100" s="257">
        <f>SUM(C101:I101)</f>
        <v/>
      </c>
      <c r="T100" s="257" t="n"/>
      <c r="U100" s="257">
        <f>SUM(C101:I101)</f>
        <v/>
      </c>
      <c r="V100" s="257" t="n"/>
      <c r="W100" s="257">
        <f>SUM(C101:I101)</f>
        <v/>
      </c>
      <c r="X100" s="257" t="n"/>
      <c r="Y100" s="257">
        <f>SUM(C101:I101)</f>
        <v/>
      </c>
      <c r="Z100" s="257" t="n"/>
      <c r="AA100" s="257" t="n">
        <v>0</v>
      </c>
      <c r="AB100" s="305" t="n"/>
    </row>
    <row r="101" thickBot="1">
      <c r="A101" s="75" t="n"/>
      <c r="B101" s="207" t="inlineStr">
        <is>
          <t>CONTRIBUIÇÃO SOCIAL À RECOLHER NO PERÍODO</t>
        </is>
      </c>
      <c r="C101" s="311">
        <f>C98-C99</f>
        <v/>
      </c>
      <c r="D101" s="311" t="n"/>
      <c r="E101" s="311">
        <f>E98-E99-E100</f>
        <v/>
      </c>
      <c r="F101" s="311" t="n"/>
      <c r="G101" s="311">
        <f>G98-G99-G100</f>
        <v/>
      </c>
      <c r="H101" s="311" t="n"/>
      <c r="I101" s="311">
        <f>I98-I99-I100</f>
        <v/>
      </c>
      <c r="J101" s="311" t="n"/>
      <c r="K101" s="311">
        <f>K98-K99-K100</f>
        <v/>
      </c>
      <c r="L101" s="311" t="n"/>
      <c r="M101" s="311">
        <f>M98-M99-M100</f>
        <v/>
      </c>
      <c r="N101" s="311" t="n"/>
      <c r="O101" s="311">
        <f>O98-O99-O100</f>
        <v/>
      </c>
      <c r="P101" s="311" t="n"/>
      <c r="Q101" s="311">
        <f>Q98-Q99-Q100</f>
        <v/>
      </c>
      <c r="R101" s="311" t="n"/>
      <c r="S101" s="311">
        <f>S98-S99-S100</f>
        <v/>
      </c>
      <c r="T101" s="311" t="n"/>
      <c r="U101" s="311">
        <f>U98-U99-U100</f>
        <v/>
      </c>
      <c r="V101" s="311" t="n"/>
      <c r="W101" s="311">
        <f>W98-W99-W100</f>
        <v/>
      </c>
      <c r="X101" s="311" t="n"/>
      <c r="Y101" s="311">
        <f>Y98-Y99-Y100</f>
        <v/>
      </c>
      <c r="Z101" s="311" t="n"/>
      <c r="AA101" s="311">
        <f>AA100</f>
        <v/>
      </c>
      <c r="AB101" s="312" t="n"/>
      <c r="AC101" s="254" t="n"/>
    </row>
    <row r="102" ht="17" customHeight="1" thickTop="1">
      <c r="B102" s="212" t="n"/>
      <c r="C102" s="317" t="n"/>
      <c r="D102" s="317" t="n"/>
      <c r="E102" s="317" t="n"/>
      <c r="F102" s="317" t="n"/>
      <c r="G102" s="317" t="n"/>
      <c r="H102" s="317" t="n"/>
      <c r="I102" s="317" t="n"/>
      <c r="J102" s="317" t="n"/>
      <c r="K102" s="317" t="n"/>
      <c r="L102" s="317" t="n"/>
      <c r="M102" s="317" t="n"/>
      <c r="N102" s="317" t="n"/>
      <c r="O102" s="317" t="n"/>
      <c r="P102" s="317" t="n"/>
      <c r="Q102" s="317" t="n"/>
      <c r="R102" s="317" t="n"/>
      <c r="S102" s="317" t="n"/>
      <c r="T102" s="317" t="n"/>
      <c r="U102" s="317" t="n"/>
      <c r="V102" s="317" t="n"/>
      <c r="W102" s="317" t="n"/>
      <c r="X102" s="317" t="n"/>
      <c r="Y102" s="317" t="n"/>
      <c r="Z102" s="317" t="n"/>
      <c r="AA102" s="214" t="n"/>
      <c r="AB102" s="318" t="n"/>
    </row>
    <row r="103">
      <c r="B103" s="16" t="n"/>
      <c r="C103" s="277" t="n"/>
      <c r="D103" s="277" t="n"/>
      <c r="E103" s="277" t="n"/>
      <c r="F103" s="277" t="n"/>
      <c r="G103" s="277" t="n"/>
      <c r="H103" s="277" t="n"/>
      <c r="I103" s="277" t="n"/>
      <c r="J103" s="277" t="n"/>
      <c r="K103" s="277" t="n"/>
      <c r="L103" s="277" t="n"/>
      <c r="M103" s="277" t="n"/>
      <c r="N103" s="277" t="n"/>
      <c r="O103" s="277" t="n"/>
      <c r="P103" s="277" t="n"/>
      <c r="Q103" s="277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B103" s="277" t="n"/>
    </row>
    <row r="104">
      <c r="E104" s="250" t="n"/>
    </row>
    <row r="106">
      <c r="I106" s="19" t="n"/>
      <c r="O106" s="277" t="n"/>
    </row>
  </sheetData>
  <mergeCells count="7">
    <mergeCell ref="B8:AA8"/>
    <mergeCell ref="B3:AA4"/>
    <mergeCell ref="B55:AA55"/>
    <mergeCell ref="B6:AA6"/>
    <mergeCell ref="B47:AA47"/>
    <mergeCell ref="B2:AA2"/>
    <mergeCell ref="B5:AA5"/>
  </mergeCells>
  <pageMargins left="0.25" right="0.25" top="0.75" bottom="0.75" header="0.3" footer="0.3"/>
  <pageSetup orientation="portrait" paperSize="9" scale="49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B2:AA39"/>
  <sheetViews>
    <sheetView showGridLines="0" topLeftCell="A7" zoomScaleNormal="100" workbookViewId="0">
      <selection activeCell="B33" sqref="B33"/>
    </sheetView>
  </sheetViews>
  <sheetFormatPr baseColWidth="10" defaultColWidth="8.83203125" defaultRowHeight="15"/>
  <cols>
    <col width="1.33203125" customWidth="1" min="1" max="1"/>
    <col width="45" customWidth="1" min="2" max="2"/>
    <col width="14.83203125" bestFit="1" customWidth="1" min="3" max="3"/>
    <col width="6.5" customWidth="1" min="4" max="4"/>
    <col width="16.83203125" customWidth="1" min="5" max="5"/>
    <col width="6.83203125" customWidth="1" min="6" max="6"/>
    <col width="14.5" customWidth="1" min="7" max="7"/>
    <col width="7.6640625" customWidth="1" min="8" max="8"/>
    <col width="14.83203125" customWidth="1" min="9" max="9"/>
    <col width="6.6640625" customWidth="1" min="10" max="10"/>
    <col width="14.83203125" bestFit="1" customWidth="1" min="11" max="11"/>
    <col width="8" customWidth="1" min="12" max="12"/>
    <col width="14.83203125" bestFit="1" customWidth="1" min="13" max="13"/>
    <col width="7.6640625" customWidth="1" min="14" max="14"/>
    <col width="14.5" bestFit="1" customWidth="1" min="15" max="15"/>
    <col width="7" customWidth="1" min="16" max="16"/>
    <col width="14.33203125" customWidth="1" min="17" max="17"/>
    <col width="7" customWidth="1" min="18" max="18"/>
    <col width="16.6640625" bestFit="1" customWidth="1" min="19" max="19"/>
    <col width="6.5" customWidth="1" min="20" max="20"/>
    <col width="15.83203125" customWidth="1" min="21" max="21"/>
    <col width="7" customWidth="1" min="22" max="22"/>
    <col width="14.33203125" customWidth="1" min="23" max="23"/>
    <col width="7.5" customWidth="1" min="24" max="24"/>
    <col width="17.1640625" customWidth="1" min="25" max="25"/>
    <col width="7.33203125" customWidth="1" min="26" max="26"/>
    <col width="16.5" bestFit="1" customWidth="1" min="27" max="27"/>
    <col width="3" customWidth="1" min="257" max="257"/>
    <col width="46.6640625" customWidth="1" min="258" max="258"/>
    <col width="14.83203125" bestFit="1" customWidth="1" min="259" max="259"/>
    <col width="6.5" customWidth="1" min="260" max="260"/>
    <col width="16.83203125" customWidth="1" min="261" max="261"/>
    <col width="6.83203125" customWidth="1" min="262" max="262"/>
    <col width="14.5" customWidth="1" min="263" max="263"/>
    <col width="7.6640625" customWidth="1" min="264" max="264"/>
    <col width="14.83203125" customWidth="1" min="265" max="265"/>
    <col width="6.6640625" customWidth="1" min="266" max="266"/>
    <col width="14.83203125" bestFit="1" customWidth="1" min="267" max="267"/>
    <col width="8" customWidth="1" min="268" max="268"/>
    <col width="14.83203125" bestFit="1" customWidth="1" min="269" max="269"/>
    <col width="7.6640625" customWidth="1" min="270" max="270"/>
    <col width="14.5" bestFit="1" customWidth="1" min="271" max="271"/>
    <col width="7" customWidth="1" min="272" max="272"/>
    <col width="14.33203125" customWidth="1" min="273" max="273"/>
    <col width="7" customWidth="1" min="274" max="274"/>
    <col width="16.6640625" bestFit="1" customWidth="1" min="275" max="275"/>
    <col width="6.5" customWidth="1" min="276" max="276"/>
    <col width="15.83203125" customWidth="1" min="277" max="277"/>
    <col width="7" customWidth="1" min="278" max="278"/>
    <col width="14.33203125" customWidth="1" min="279" max="279"/>
    <col width="7.5" customWidth="1" min="280" max="280"/>
    <col width="17.1640625" customWidth="1" min="281" max="281"/>
    <col width="7.33203125" customWidth="1" min="282" max="282"/>
    <col width="16.5" bestFit="1" customWidth="1" min="283" max="283"/>
    <col width="3" customWidth="1" min="513" max="513"/>
    <col width="46.6640625" customWidth="1" min="514" max="514"/>
    <col width="14.83203125" bestFit="1" customWidth="1" min="515" max="515"/>
    <col width="6.5" customWidth="1" min="516" max="516"/>
    <col width="16.83203125" customWidth="1" min="517" max="517"/>
    <col width="6.83203125" customWidth="1" min="518" max="518"/>
    <col width="14.5" customWidth="1" min="519" max="519"/>
    <col width="7.6640625" customWidth="1" min="520" max="520"/>
    <col width="14.83203125" customWidth="1" min="521" max="521"/>
    <col width="6.6640625" customWidth="1" min="522" max="522"/>
    <col width="14.83203125" bestFit="1" customWidth="1" min="523" max="523"/>
    <col width="8" customWidth="1" min="524" max="524"/>
    <col width="14.83203125" bestFit="1" customWidth="1" min="525" max="525"/>
    <col width="7.6640625" customWidth="1" min="526" max="526"/>
    <col width="14.5" bestFit="1" customWidth="1" min="527" max="527"/>
    <col width="7" customWidth="1" min="528" max="528"/>
    <col width="14.33203125" customWidth="1" min="529" max="529"/>
    <col width="7" customWidth="1" min="530" max="530"/>
    <col width="16.6640625" bestFit="1" customWidth="1" min="531" max="531"/>
    <col width="6.5" customWidth="1" min="532" max="532"/>
    <col width="15.83203125" customWidth="1" min="533" max="533"/>
    <col width="7" customWidth="1" min="534" max="534"/>
    <col width="14.33203125" customWidth="1" min="535" max="535"/>
    <col width="7.5" customWidth="1" min="536" max="536"/>
    <col width="17.1640625" customWidth="1" min="537" max="537"/>
    <col width="7.33203125" customWidth="1" min="538" max="538"/>
    <col width="16.5" bestFit="1" customWidth="1" min="539" max="539"/>
    <col width="3" customWidth="1" min="769" max="769"/>
    <col width="46.6640625" customWidth="1" min="770" max="770"/>
    <col width="14.83203125" bestFit="1" customWidth="1" min="771" max="771"/>
    <col width="6.5" customWidth="1" min="772" max="772"/>
    <col width="16.83203125" customWidth="1" min="773" max="773"/>
    <col width="6.83203125" customWidth="1" min="774" max="774"/>
    <col width="14.5" customWidth="1" min="775" max="775"/>
    <col width="7.6640625" customWidth="1" min="776" max="776"/>
    <col width="14.83203125" customWidth="1" min="777" max="777"/>
    <col width="6.6640625" customWidth="1" min="778" max="778"/>
    <col width="14.83203125" bestFit="1" customWidth="1" min="779" max="779"/>
    <col width="8" customWidth="1" min="780" max="780"/>
    <col width="14.83203125" bestFit="1" customWidth="1" min="781" max="781"/>
    <col width="7.6640625" customWidth="1" min="782" max="782"/>
    <col width="14.5" bestFit="1" customWidth="1" min="783" max="783"/>
    <col width="7" customWidth="1" min="784" max="784"/>
    <col width="14.33203125" customWidth="1" min="785" max="785"/>
    <col width="7" customWidth="1" min="786" max="786"/>
    <col width="16.6640625" bestFit="1" customWidth="1" min="787" max="787"/>
    <col width="6.5" customWidth="1" min="788" max="788"/>
    <col width="15.83203125" customWidth="1" min="789" max="789"/>
    <col width="7" customWidth="1" min="790" max="790"/>
    <col width="14.33203125" customWidth="1" min="791" max="791"/>
    <col width="7.5" customWidth="1" min="792" max="792"/>
    <col width="17.1640625" customWidth="1" min="793" max="793"/>
    <col width="7.33203125" customWidth="1" min="794" max="794"/>
    <col width="16.5" bestFit="1" customWidth="1" min="795" max="795"/>
    <col width="3" customWidth="1" min="1025" max="1025"/>
    <col width="46.6640625" customWidth="1" min="1026" max="1026"/>
    <col width="14.83203125" bestFit="1" customWidth="1" min="1027" max="1027"/>
    <col width="6.5" customWidth="1" min="1028" max="1028"/>
    <col width="16.83203125" customWidth="1" min="1029" max="1029"/>
    <col width="6.83203125" customWidth="1" min="1030" max="1030"/>
    <col width="14.5" customWidth="1" min="1031" max="1031"/>
    <col width="7.6640625" customWidth="1" min="1032" max="1032"/>
    <col width="14.83203125" customWidth="1" min="1033" max="1033"/>
    <col width="6.6640625" customWidth="1" min="1034" max="1034"/>
    <col width="14.83203125" bestFit="1" customWidth="1" min="1035" max="1035"/>
    <col width="8" customWidth="1" min="1036" max="1036"/>
    <col width="14.83203125" bestFit="1" customWidth="1" min="1037" max="1037"/>
    <col width="7.6640625" customWidth="1" min="1038" max="1038"/>
    <col width="14.5" bestFit="1" customWidth="1" min="1039" max="1039"/>
    <col width="7" customWidth="1" min="1040" max="1040"/>
    <col width="14.33203125" customWidth="1" min="1041" max="1041"/>
    <col width="7" customWidth="1" min="1042" max="1042"/>
    <col width="16.6640625" bestFit="1" customWidth="1" min="1043" max="1043"/>
    <col width="6.5" customWidth="1" min="1044" max="1044"/>
    <col width="15.83203125" customWidth="1" min="1045" max="1045"/>
    <col width="7" customWidth="1" min="1046" max="1046"/>
    <col width="14.33203125" customWidth="1" min="1047" max="1047"/>
    <col width="7.5" customWidth="1" min="1048" max="1048"/>
    <col width="17.1640625" customWidth="1" min="1049" max="1049"/>
    <col width="7.33203125" customWidth="1" min="1050" max="1050"/>
    <col width="16.5" bestFit="1" customWidth="1" min="1051" max="1051"/>
    <col width="3" customWidth="1" min="1281" max="1281"/>
    <col width="46.6640625" customWidth="1" min="1282" max="1282"/>
    <col width="14.83203125" bestFit="1" customWidth="1" min="1283" max="1283"/>
    <col width="6.5" customWidth="1" min="1284" max="1284"/>
    <col width="16.83203125" customWidth="1" min="1285" max="1285"/>
    <col width="6.83203125" customWidth="1" min="1286" max="1286"/>
    <col width="14.5" customWidth="1" min="1287" max="1287"/>
    <col width="7.6640625" customWidth="1" min="1288" max="1288"/>
    <col width="14.83203125" customWidth="1" min="1289" max="1289"/>
    <col width="6.6640625" customWidth="1" min="1290" max="1290"/>
    <col width="14.83203125" bestFit="1" customWidth="1" min="1291" max="1291"/>
    <col width="8" customWidth="1" min="1292" max="1292"/>
    <col width="14.83203125" bestFit="1" customWidth="1" min="1293" max="1293"/>
    <col width="7.6640625" customWidth="1" min="1294" max="1294"/>
    <col width="14.5" bestFit="1" customWidth="1" min="1295" max="1295"/>
    <col width="7" customWidth="1" min="1296" max="1296"/>
    <col width="14.33203125" customWidth="1" min="1297" max="1297"/>
    <col width="7" customWidth="1" min="1298" max="1298"/>
    <col width="16.6640625" bestFit="1" customWidth="1" min="1299" max="1299"/>
    <col width="6.5" customWidth="1" min="1300" max="1300"/>
    <col width="15.83203125" customWidth="1" min="1301" max="1301"/>
    <col width="7" customWidth="1" min="1302" max="1302"/>
    <col width="14.33203125" customWidth="1" min="1303" max="1303"/>
    <col width="7.5" customWidth="1" min="1304" max="1304"/>
    <col width="17.1640625" customWidth="1" min="1305" max="1305"/>
    <col width="7.33203125" customWidth="1" min="1306" max="1306"/>
    <col width="16.5" bestFit="1" customWidth="1" min="1307" max="1307"/>
    <col width="3" customWidth="1" min="1537" max="1537"/>
    <col width="46.6640625" customWidth="1" min="1538" max="1538"/>
    <col width="14.83203125" bestFit="1" customWidth="1" min="1539" max="1539"/>
    <col width="6.5" customWidth="1" min="1540" max="1540"/>
    <col width="16.83203125" customWidth="1" min="1541" max="1541"/>
    <col width="6.83203125" customWidth="1" min="1542" max="1542"/>
    <col width="14.5" customWidth="1" min="1543" max="1543"/>
    <col width="7.6640625" customWidth="1" min="1544" max="1544"/>
    <col width="14.83203125" customWidth="1" min="1545" max="1545"/>
    <col width="6.6640625" customWidth="1" min="1546" max="1546"/>
    <col width="14.83203125" bestFit="1" customWidth="1" min="1547" max="1547"/>
    <col width="8" customWidth="1" min="1548" max="1548"/>
    <col width="14.83203125" bestFit="1" customWidth="1" min="1549" max="1549"/>
    <col width="7.6640625" customWidth="1" min="1550" max="1550"/>
    <col width="14.5" bestFit="1" customWidth="1" min="1551" max="1551"/>
    <col width="7" customWidth="1" min="1552" max="1552"/>
    <col width="14.33203125" customWidth="1" min="1553" max="1553"/>
    <col width="7" customWidth="1" min="1554" max="1554"/>
    <col width="16.6640625" bestFit="1" customWidth="1" min="1555" max="1555"/>
    <col width="6.5" customWidth="1" min="1556" max="1556"/>
    <col width="15.83203125" customWidth="1" min="1557" max="1557"/>
    <col width="7" customWidth="1" min="1558" max="1558"/>
    <col width="14.33203125" customWidth="1" min="1559" max="1559"/>
    <col width="7.5" customWidth="1" min="1560" max="1560"/>
    <col width="17.1640625" customWidth="1" min="1561" max="1561"/>
    <col width="7.33203125" customWidth="1" min="1562" max="1562"/>
    <col width="16.5" bestFit="1" customWidth="1" min="1563" max="1563"/>
    <col width="3" customWidth="1" min="1793" max="1793"/>
    <col width="46.6640625" customWidth="1" min="1794" max="1794"/>
    <col width="14.83203125" bestFit="1" customWidth="1" min="1795" max="1795"/>
    <col width="6.5" customWidth="1" min="1796" max="1796"/>
    <col width="16.83203125" customWidth="1" min="1797" max="1797"/>
    <col width="6.83203125" customWidth="1" min="1798" max="1798"/>
    <col width="14.5" customWidth="1" min="1799" max="1799"/>
    <col width="7.6640625" customWidth="1" min="1800" max="1800"/>
    <col width="14.83203125" customWidth="1" min="1801" max="1801"/>
    <col width="6.6640625" customWidth="1" min="1802" max="1802"/>
    <col width="14.83203125" bestFit="1" customWidth="1" min="1803" max="1803"/>
    <col width="8" customWidth="1" min="1804" max="1804"/>
    <col width="14.83203125" bestFit="1" customWidth="1" min="1805" max="1805"/>
    <col width="7.6640625" customWidth="1" min="1806" max="1806"/>
    <col width="14.5" bestFit="1" customWidth="1" min="1807" max="1807"/>
    <col width="7" customWidth="1" min="1808" max="1808"/>
    <col width="14.33203125" customWidth="1" min="1809" max="1809"/>
    <col width="7" customWidth="1" min="1810" max="1810"/>
    <col width="16.6640625" bestFit="1" customWidth="1" min="1811" max="1811"/>
    <col width="6.5" customWidth="1" min="1812" max="1812"/>
    <col width="15.83203125" customWidth="1" min="1813" max="1813"/>
    <col width="7" customWidth="1" min="1814" max="1814"/>
    <col width="14.33203125" customWidth="1" min="1815" max="1815"/>
    <col width="7.5" customWidth="1" min="1816" max="1816"/>
    <col width="17.1640625" customWidth="1" min="1817" max="1817"/>
    <col width="7.33203125" customWidth="1" min="1818" max="1818"/>
    <col width="16.5" bestFit="1" customWidth="1" min="1819" max="1819"/>
    <col width="3" customWidth="1" min="2049" max="2049"/>
    <col width="46.6640625" customWidth="1" min="2050" max="2050"/>
    <col width="14.83203125" bestFit="1" customWidth="1" min="2051" max="2051"/>
    <col width="6.5" customWidth="1" min="2052" max="2052"/>
    <col width="16.83203125" customWidth="1" min="2053" max="2053"/>
    <col width="6.83203125" customWidth="1" min="2054" max="2054"/>
    <col width="14.5" customWidth="1" min="2055" max="2055"/>
    <col width="7.6640625" customWidth="1" min="2056" max="2056"/>
    <col width="14.83203125" customWidth="1" min="2057" max="2057"/>
    <col width="6.6640625" customWidth="1" min="2058" max="2058"/>
    <col width="14.83203125" bestFit="1" customWidth="1" min="2059" max="2059"/>
    <col width="8" customWidth="1" min="2060" max="2060"/>
    <col width="14.83203125" bestFit="1" customWidth="1" min="2061" max="2061"/>
    <col width="7.6640625" customWidth="1" min="2062" max="2062"/>
    <col width="14.5" bestFit="1" customWidth="1" min="2063" max="2063"/>
    <col width="7" customWidth="1" min="2064" max="2064"/>
    <col width="14.33203125" customWidth="1" min="2065" max="2065"/>
    <col width="7" customWidth="1" min="2066" max="2066"/>
    <col width="16.6640625" bestFit="1" customWidth="1" min="2067" max="2067"/>
    <col width="6.5" customWidth="1" min="2068" max="2068"/>
    <col width="15.83203125" customWidth="1" min="2069" max="2069"/>
    <col width="7" customWidth="1" min="2070" max="2070"/>
    <col width="14.33203125" customWidth="1" min="2071" max="2071"/>
    <col width="7.5" customWidth="1" min="2072" max="2072"/>
    <col width="17.1640625" customWidth="1" min="2073" max="2073"/>
    <col width="7.33203125" customWidth="1" min="2074" max="2074"/>
    <col width="16.5" bestFit="1" customWidth="1" min="2075" max="2075"/>
    <col width="3" customWidth="1" min="2305" max="2305"/>
    <col width="46.6640625" customWidth="1" min="2306" max="2306"/>
    <col width="14.83203125" bestFit="1" customWidth="1" min="2307" max="2307"/>
    <col width="6.5" customWidth="1" min="2308" max="2308"/>
    <col width="16.83203125" customWidth="1" min="2309" max="2309"/>
    <col width="6.83203125" customWidth="1" min="2310" max="2310"/>
    <col width="14.5" customWidth="1" min="2311" max="2311"/>
    <col width="7.6640625" customWidth="1" min="2312" max="2312"/>
    <col width="14.83203125" customWidth="1" min="2313" max="2313"/>
    <col width="6.6640625" customWidth="1" min="2314" max="2314"/>
    <col width="14.83203125" bestFit="1" customWidth="1" min="2315" max="2315"/>
    <col width="8" customWidth="1" min="2316" max="2316"/>
    <col width="14.83203125" bestFit="1" customWidth="1" min="2317" max="2317"/>
    <col width="7.6640625" customWidth="1" min="2318" max="2318"/>
    <col width="14.5" bestFit="1" customWidth="1" min="2319" max="2319"/>
    <col width="7" customWidth="1" min="2320" max="2320"/>
    <col width="14.33203125" customWidth="1" min="2321" max="2321"/>
    <col width="7" customWidth="1" min="2322" max="2322"/>
    <col width="16.6640625" bestFit="1" customWidth="1" min="2323" max="2323"/>
    <col width="6.5" customWidth="1" min="2324" max="2324"/>
    <col width="15.83203125" customWidth="1" min="2325" max="2325"/>
    <col width="7" customWidth="1" min="2326" max="2326"/>
    <col width="14.33203125" customWidth="1" min="2327" max="2327"/>
    <col width="7.5" customWidth="1" min="2328" max="2328"/>
    <col width="17.1640625" customWidth="1" min="2329" max="2329"/>
    <col width="7.33203125" customWidth="1" min="2330" max="2330"/>
    <col width="16.5" bestFit="1" customWidth="1" min="2331" max="2331"/>
    <col width="3" customWidth="1" min="2561" max="2561"/>
    <col width="46.6640625" customWidth="1" min="2562" max="2562"/>
    <col width="14.83203125" bestFit="1" customWidth="1" min="2563" max="2563"/>
    <col width="6.5" customWidth="1" min="2564" max="2564"/>
    <col width="16.83203125" customWidth="1" min="2565" max="2565"/>
    <col width="6.83203125" customWidth="1" min="2566" max="2566"/>
    <col width="14.5" customWidth="1" min="2567" max="2567"/>
    <col width="7.6640625" customWidth="1" min="2568" max="2568"/>
    <col width="14.83203125" customWidth="1" min="2569" max="2569"/>
    <col width="6.6640625" customWidth="1" min="2570" max="2570"/>
    <col width="14.83203125" bestFit="1" customWidth="1" min="2571" max="2571"/>
    <col width="8" customWidth="1" min="2572" max="2572"/>
    <col width="14.83203125" bestFit="1" customWidth="1" min="2573" max="2573"/>
    <col width="7.6640625" customWidth="1" min="2574" max="2574"/>
    <col width="14.5" bestFit="1" customWidth="1" min="2575" max="2575"/>
    <col width="7" customWidth="1" min="2576" max="2576"/>
    <col width="14.33203125" customWidth="1" min="2577" max="2577"/>
    <col width="7" customWidth="1" min="2578" max="2578"/>
    <col width="16.6640625" bestFit="1" customWidth="1" min="2579" max="2579"/>
    <col width="6.5" customWidth="1" min="2580" max="2580"/>
    <col width="15.83203125" customWidth="1" min="2581" max="2581"/>
    <col width="7" customWidth="1" min="2582" max="2582"/>
    <col width="14.33203125" customWidth="1" min="2583" max="2583"/>
    <col width="7.5" customWidth="1" min="2584" max="2584"/>
    <col width="17.1640625" customWidth="1" min="2585" max="2585"/>
    <col width="7.33203125" customWidth="1" min="2586" max="2586"/>
    <col width="16.5" bestFit="1" customWidth="1" min="2587" max="2587"/>
    <col width="3" customWidth="1" min="2817" max="2817"/>
    <col width="46.6640625" customWidth="1" min="2818" max="2818"/>
    <col width="14.83203125" bestFit="1" customWidth="1" min="2819" max="2819"/>
    <col width="6.5" customWidth="1" min="2820" max="2820"/>
    <col width="16.83203125" customWidth="1" min="2821" max="2821"/>
    <col width="6.83203125" customWidth="1" min="2822" max="2822"/>
    <col width="14.5" customWidth="1" min="2823" max="2823"/>
    <col width="7.6640625" customWidth="1" min="2824" max="2824"/>
    <col width="14.83203125" customWidth="1" min="2825" max="2825"/>
    <col width="6.6640625" customWidth="1" min="2826" max="2826"/>
    <col width="14.83203125" bestFit="1" customWidth="1" min="2827" max="2827"/>
    <col width="8" customWidth="1" min="2828" max="2828"/>
    <col width="14.83203125" bestFit="1" customWidth="1" min="2829" max="2829"/>
    <col width="7.6640625" customWidth="1" min="2830" max="2830"/>
    <col width="14.5" bestFit="1" customWidth="1" min="2831" max="2831"/>
    <col width="7" customWidth="1" min="2832" max="2832"/>
    <col width="14.33203125" customWidth="1" min="2833" max="2833"/>
    <col width="7" customWidth="1" min="2834" max="2834"/>
    <col width="16.6640625" bestFit="1" customWidth="1" min="2835" max="2835"/>
    <col width="6.5" customWidth="1" min="2836" max="2836"/>
    <col width="15.83203125" customWidth="1" min="2837" max="2837"/>
    <col width="7" customWidth="1" min="2838" max="2838"/>
    <col width="14.33203125" customWidth="1" min="2839" max="2839"/>
    <col width="7.5" customWidth="1" min="2840" max="2840"/>
    <col width="17.1640625" customWidth="1" min="2841" max="2841"/>
    <col width="7.33203125" customWidth="1" min="2842" max="2842"/>
    <col width="16.5" bestFit="1" customWidth="1" min="2843" max="2843"/>
    <col width="3" customWidth="1" min="3073" max="3073"/>
    <col width="46.6640625" customWidth="1" min="3074" max="3074"/>
    <col width="14.83203125" bestFit="1" customWidth="1" min="3075" max="3075"/>
    <col width="6.5" customWidth="1" min="3076" max="3076"/>
    <col width="16.83203125" customWidth="1" min="3077" max="3077"/>
    <col width="6.83203125" customWidth="1" min="3078" max="3078"/>
    <col width="14.5" customWidth="1" min="3079" max="3079"/>
    <col width="7.6640625" customWidth="1" min="3080" max="3080"/>
    <col width="14.83203125" customWidth="1" min="3081" max="3081"/>
    <col width="6.6640625" customWidth="1" min="3082" max="3082"/>
    <col width="14.83203125" bestFit="1" customWidth="1" min="3083" max="3083"/>
    <col width="8" customWidth="1" min="3084" max="3084"/>
    <col width="14.83203125" bestFit="1" customWidth="1" min="3085" max="3085"/>
    <col width="7.6640625" customWidth="1" min="3086" max="3086"/>
    <col width="14.5" bestFit="1" customWidth="1" min="3087" max="3087"/>
    <col width="7" customWidth="1" min="3088" max="3088"/>
    <col width="14.33203125" customWidth="1" min="3089" max="3089"/>
    <col width="7" customWidth="1" min="3090" max="3090"/>
    <col width="16.6640625" bestFit="1" customWidth="1" min="3091" max="3091"/>
    <col width="6.5" customWidth="1" min="3092" max="3092"/>
    <col width="15.83203125" customWidth="1" min="3093" max="3093"/>
    <col width="7" customWidth="1" min="3094" max="3094"/>
    <col width="14.33203125" customWidth="1" min="3095" max="3095"/>
    <col width="7.5" customWidth="1" min="3096" max="3096"/>
    <col width="17.1640625" customWidth="1" min="3097" max="3097"/>
    <col width="7.33203125" customWidth="1" min="3098" max="3098"/>
    <col width="16.5" bestFit="1" customWidth="1" min="3099" max="3099"/>
    <col width="3" customWidth="1" min="3329" max="3329"/>
    <col width="46.6640625" customWidth="1" min="3330" max="3330"/>
    <col width="14.83203125" bestFit="1" customWidth="1" min="3331" max="3331"/>
    <col width="6.5" customWidth="1" min="3332" max="3332"/>
    <col width="16.83203125" customWidth="1" min="3333" max="3333"/>
    <col width="6.83203125" customWidth="1" min="3334" max="3334"/>
    <col width="14.5" customWidth="1" min="3335" max="3335"/>
    <col width="7.6640625" customWidth="1" min="3336" max="3336"/>
    <col width="14.83203125" customWidth="1" min="3337" max="3337"/>
    <col width="6.6640625" customWidth="1" min="3338" max="3338"/>
    <col width="14.83203125" bestFit="1" customWidth="1" min="3339" max="3339"/>
    <col width="8" customWidth="1" min="3340" max="3340"/>
    <col width="14.83203125" bestFit="1" customWidth="1" min="3341" max="3341"/>
    <col width="7.6640625" customWidth="1" min="3342" max="3342"/>
    <col width="14.5" bestFit="1" customWidth="1" min="3343" max="3343"/>
    <col width="7" customWidth="1" min="3344" max="3344"/>
    <col width="14.33203125" customWidth="1" min="3345" max="3345"/>
    <col width="7" customWidth="1" min="3346" max="3346"/>
    <col width="16.6640625" bestFit="1" customWidth="1" min="3347" max="3347"/>
    <col width="6.5" customWidth="1" min="3348" max="3348"/>
    <col width="15.83203125" customWidth="1" min="3349" max="3349"/>
    <col width="7" customWidth="1" min="3350" max="3350"/>
    <col width="14.33203125" customWidth="1" min="3351" max="3351"/>
    <col width="7.5" customWidth="1" min="3352" max="3352"/>
    <col width="17.1640625" customWidth="1" min="3353" max="3353"/>
    <col width="7.33203125" customWidth="1" min="3354" max="3354"/>
    <col width="16.5" bestFit="1" customWidth="1" min="3355" max="3355"/>
    <col width="3" customWidth="1" min="3585" max="3585"/>
    <col width="46.6640625" customWidth="1" min="3586" max="3586"/>
    <col width="14.83203125" bestFit="1" customWidth="1" min="3587" max="3587"/>
    <col width="6.5" customWidth="1" min="3588" max="3588"/>
    <col width="16.83203125" customWidth="1" min="3589" max="3589"/>
    <col width="6.83203125" customWidth="1" min="3590" max="3590"/>
    <col width="14.5" customWidth="1" min="3591" max="3591"/>
    <col width="7.6640625" customWidth="1" min="3592" max="3592"/>
    <col width="14.83203125" customWidth="1" min="3593" max="3593"/>
    <col width="6.6640625" customWidth="1" min="3594" max="3594"/>
    <col width="14.83203125" bestFit="1" customWidth="1" min="3595" max="3595"/>
    <col width="8" customWidth="1" min="3596" max="3596"/>
    <col width="14.83203125" bestFit="1" customWidth="1" min="3597" max="3597"/>
    <col width="7.6640625" customWidth="1" min="3598" max="3598"/>
    <col width="14.5" bestFit="1" customWidth="1" min="3599" max="3599"/>
    <col width="7" customWidth="1" min="3600" max="3600"/>
    <col width="14.33203125" customWidth="1" min="3601" max="3601"/>
    <col width="7" customWidth="1" min="3602" max="3602"/>
    <col width="16.6640625" bestFit="1" customWidth="1" min="3603" max="3603"/>
    <col width="6.5" customWidth="1" min="3604" max="3604"/>
    <col width="15.83203125" customWidth="1" min="3605" max="3605"/>
    <col width="7" customWidth="1" min="3606" max="3606"/>
    <col width="14.33203125" customWidth="1" min="3607" max="3607"/>
    <col width="7.5" customWidth="1" min="3608" max="3608"/>
    <col width="17.1640625" customWidth="1" min="3609" max="3609"/>
    <col width="7.33203125" customWidth="1" min="3610" max="3610"/>
    <col width="16.5" bestFit="1" customWidth="1" min="3611" max="3611"/>
    <col width="3" customWidth="1" min="3841" max="3841"/>
    <col width="46.6640625" customWidth="1" min="3842" max="3842"/>
    <col width="14.83203125" bestFit="1" customWidth="1" min="3843" max="3843"/>
    <col width="6.5" customWidth="1" min="3844" max="3844"/>
    <col width="16.83203125" customWidth="1" min="3845" max="3845"/>
    <col width="6.83203125" customWidth="1" min="3846" max="3846"/>
    <col width="14.5" customWidth="1" min="3847" max="3847"/>
    <col width="7.6640625" customWidth="1" min="3848" max="3848"/>
    <col width="14.83203125" customWidth="1" min="3849" max="3849"/>
    <col width="6.6640625" customWidth="1" min="3850" max="3850"/>
    <col width="14.83203125" bestFit="1" customWidth="1" min="3851" max="3851"/>
    <col width="8" customWidth="1" min="3852" max="3852"/>
    <col width="14.83203125" bestFit="1" customWidth="1" min="3853" max="3853"/>
    <col width="7.6640625" customWidth="1" min="3854" max="3854"/>
    <col width="14.5" bestFit="1" customWidth="1" min="3855" max="3855"/>
    <col width="7" customWidth="1" min="3856" max="3856"/>
    <col width="14.33203125" customWidth="1" min="3857" max="3857"/>
    <col width="7" customWidth="1" min="3858" max="3858"/>
    <col width="16.6640625" bestFit="1" customWidth="1" min="3859" max="3859"/>
    <col width="6.5" customWidth="1" min="3860" max="3860"/>
    <col width="15.83203125" customWidth="1" min="3861" max="3861"/>
    <col width="7" customWidth="1" min="3862" max="3862"/>
    <col width="14.33203125" customWidth="1" min="3863" max="3863"/>
    <col width="7.5" customWidth="1" min="3864" max="3864"/>
    <col width="17.1640625" customWidth="1" min="3865" max="3865"/>
    <col width="7.33203125" customWidth="1" min="3866" max="3866"/>
    <col width="16.5" bestFit="1" customWidth="1" min="3867" max="3867"/>
    <col width="3" customWidth="1" min="4097" max="4097"/>
    <col width="46.6640625" customWidth="1" min="4098" max="4098"/>
    <col width="14.83203125" bestFit="1" customWidth="1" min="4099" max="4099"/>
    <col width="6.5" customWidth="1" min="4100" max="4100"/>
    <col width="16.83203125" customWidth="1" min="4101" max="4101"/>
    <col width="6.83203125" customWidth="1" min="4102" max="4102"/>
    <col width="14.5" customWidth="1" min="4103" max="4103"/>
    <col width="7.6640625" customWidth="1" min="4104" max="4104"/>
    <col width="14.83203125" customWidth="1" min="4105" max="4105"/>
    <col width="6.6640625" customWidth="1" min="4106" max="4106"/>
    <col width="14.83203125" bestFit="1" customWidth="1" min="4107" max="4107"/>
    <col width="8" customWidth="1" min="4108" max="4108"/>
    <col width="14.83203125" bestFit="1" customWidth="1" min="4109" max="4109"/>
    <col width="7.6640625" customWidth="1" min="4110" max="4110"/>
    <col width="14.5" bestFit="1" customWidth="1" min="4111" max="4111"/>
    <col width="7" customWidth="1" min="4112" max="4112"/>
    <col width="14.33203125" customWidth="1" min="4113" max="4113"/>
    <col width="7" customWidth="1" min="4114" max="4114"/>
    <col width="16.6640625" bestFit="1" customWidth="1" min="4115" max="4115"/>
    <col width="6.5" customWidth="1" min="4116" max="4116"/>
    <col width="15.83203125" customWidth="1" min="4117" max="4117"/>
    <col width="7" customWidth="1" min="4118" max="4118"/>
    <col width="14.33203125" customWidth="1" min="4119" max="4119"/>
    <col width="7.5" customWidth="1" min="4120" max="4120"/>
    <col width="17.1640625" customWidth="1" min="4121" max="4121"/>
    <col width="7.33203125" customWidth="1" min="4122" max="4122"/>
    <col width="16.5" bestFit="1" customWidth="1" min="4123" max="4123"/>
    <col width="3" customWidth="1" min="4353" max="4353"/>
    <col width="46.6640625" customWidth="1" min="4354" max="4354"/>
    <col width="14.83203125" bestFit="1" customWidth="1" min="4355" max="4355"/>
    <col width="6.5" customWidth="1" min="4356" max="4356"/>
    <col width="16.83203125" customWidth="1" min="4357" max="4357"/>
    <col width="6.83203125" customWidth="1" min="4358" max="4358"/>
    <col width="14.5" customWidth="1" min="4359" max="4359"/>
    <col width="7.6640625" customWidth="1" min="4360" max="4360"/>
    <col width="14.83203125" customWidth="1" min="4361" max="4361"/>
    <col width="6.6640625" customWidth="1" min="4362" max="4362"/>
    <col width="14.83203125" bestFit="1" customWidth="1" min="4363" max="4363"/>
    <col width="8" customWidth="1" min="4364" max="4364"/>
    <col width="14.83203125" bestFit="1" customWidth="1" min="4365" max="4365"/>
    <col width="7.6640625" customWidth="1" min="4366" max="4366"/>
    <col width="14.5" bestFit="1" customWidth="1" min="4367" max="4367"/>
    <col width="7" customWidth="1" min="4368" max="4368"/>
    <col width="14.33203125" customWidth="1" min="4369" max="4369"/>
    <col width="7" customWidth="1" min="4370" max="4370"/>
    <col width="16.6640625" bestFit="1" customWidth="1" min="4371" max="4371"/>
    <col width="6.5" customWidth="1" min="4372" max="4372"/>
    <col width="15.83203125" customWidth="1" min="4373" max="4373"/>
    <col width="7" customWidth="1" min="4374" max="4374"/>
    <col width="14.33203125" customWidth="1" min="4375" max="4375"/>
    <col width="7.5" customWidth="1" min="4376" max="4376"/>
    <col width="17.1640625" customWidth="1" min="4377" max="4377"/>
    <col width="7.33203125" customWidth="1" min="4378" max="4378"/>
    <col width="16.5" bestFit="1" customWidth="1" min="4379" max="4379"/>
    <col width="3" customWidth="1" min="4609" max="4609"/>
    <col width="46.6640625" customWidth="1" min="4610" max="4610"/>
    <col width="14.83203125" bestFit="1" customWidth="1" min="4611" max="4611"/>
    <col width="6.5" customWidth="1" min="4612" max="4612"/>
    <col width="16.83203125" customWidth="1" min="4613" max="4613"/>
    <col width="6.83203125" customWidth="1" min="4614" max="4614"/>
    <col width="14.5" customWidth="1" min="4615" max="4615"/>
    <col width="7.6640625" customWidth="1" min="4616" max="4616"/>
    <col width="14.83203125" customWidth="1" min="4617" max="4617"/>
    <col width="6.6640625" customWidth="1" min="4618" max="4618"/>
    <col width="14.83203125" bestFit="1" customWidth="1" min="4619" max="4619"/>
    <col width="8" customWidth="1" min="4620" max="4620"/>
    <col width="14.83203125" bestFit="1" customWidth="1" min="4621" max="4621"/>
    <col width="7.6640625" customWidth="1" min="4622" max="4622"/>
    <col width="14.5" bestFit="1" customWidth="1" min="4623" max="4623"/>
    <col width="7" customWidth="1" min="4624" max="4624"/>
    <col width="14.33203125" customWidth="1" min="4625" max="4625"/>
    <col width="7" customWidth="1" min="4626" max="4626"/>
    <col width="16.6640625" bestFit="1" customWidth="1" min="4627" max="4627"/>
    <col width="6.5" customWidth="1" min="4628" max="4628"/>
    <col width="15.83203125" customWidth="1" min="4629" max="4629"/>
    <col width="7" customWidth="1" min="4630" max="4630"/>
    <col width="14.33203125" customWidth="1" min="4631" max="4631"/>
    <col width="7.5" customWidth="1" min="4632" max="4632"/>
    <col width="17.1640625" customWidth="1" min="4633" max="4633"/>
    <col width="7.33203125" customWidth="1" min="4634" max="4634"/>
    <col width="16.5" bestFit="1" customWidth="1" min="4635" max="4635"/>
    <col width="3" customWidth="1" min="4865" max="4865"/>
    <col width="46.6640625" customWidth="1" min="4866" max="4866"/>
    <col width="14.83203125" bestFit="1" customWidth="1" min="4867" max="4867"/>
    <col width="6.5" customWidth="1" min="4868" max="4868"/>
    <col width="16.83203125" customWidth="1" min="4869" max="4869"/>
    <col width="6.83203125" customWidth="1" min="4870" max="4870"/>
    <col width="14.5" customWidth="1" min="4871" max="4871"/>
    <col width="7.6640625" customWidth="1" min="4872" max="4872"/>
    <col width="14.83203125" customWidth="1" min="4873" max="4873"/>
    <col width="6.6640625" customWidth="1" min="4874" max="4874"/>
    <col width="14.83203125" bestFit="1" customWidth="1" min="4875" max="4875"/>
    <col width="8" customWidth="1" min="4876" max="4876"/>
    <col width="14.83203125" bestFit="1" customWidth="1" min="4877" max="4877"/>
    <col width="7.6640625" customWidth="1" min="4878" max="4878"/>
    <col width="14.5" bestFit="1" customWidth="1" min="4879" max="4879"/>
    <col width="7" customWidth="1" min="4880" max="4880"/>
    <col width="14.33203125" customWidth="1" min="4881" max="4881"/>
    <col width="7" customWidth="1" min="4882" max="4882"/>
    <col width="16.6640625" bestFit="1" customWidth="1" min="4883" max="4883"/>
    <col width="6.5" customWidth="1" min="4884" max="4884"/>
    <col width="15.83203125" customWidth="1" min="4885" max="4885"/>
    <col width="7" customWidth="1" min="4886" max="4886"/>
    <col width="14.33203125" customWidth="1" min="4887" max="4887"/>
    <col width="7.5" customWidth="1" min="4888" max="4888"/>
    <col width="17.1640625" customWidth="1" min="4889" max="4889"/>
    <col width="7.33203125" customWidth="1" min="4890" max="4890"/>
    <col width="16.5" bestFit="1" customWidth="1" min="4891" max="4891"/>
    <col width="3" customWidth="1" min="5121" max="5121"/>
    <col width="46.6640625" customWidth="1" min="5122" max="5122"/>
    <col width="14.83203125" bestFit="1" customWidth="1" min="5123" max="5123"/>
    <col width="6.5" customWidth="1" min="5124" max="5124"/>
    <col width="16.83203125" customWidth="1" min="5125" max="5125"/>
    <col width="6.83203125" customWidth="1" min="5126" max="5126"/>
    <col width="14.5" customWidth="1" min="5127" max="5127"/>
    <col width="7.6640625" customWidth="1" min="5128" max="5128"/>
    <col width="14.83203125" customWidth="1" min="5129" max="5129"/>
    <col width="6.6640625" customWidth="1" min="5130" max="5130"/>
    <col width="14.83203125" bestFit="1" customWidth="1" min="5131" max="5131"/>
    <col width="8" customWidth="1" min="5132" max="5132"/>
    <col width="14.83203125" bestFit="1" customWidth="1" min="5133" max="5133"/>
    <col width="7.6640625" customWidth="1" min="5134" max="5134"/>
    <col width="14.5" bestFit="1" customWidth="1" min="5135" max="5135"/>
    <col width="7" customWidth="1" min="5136" max="5136"/>
    <col width="14.33203125" customWidth="1" min="5137" max="5137"/>
    <col width="7" customWidth="1" min="5138" max="5138"/>
    <col width="16.6640625" bestFit="1" customWidth="1" min="5139" max="5139"/>
    <col width="6.5" customWidth="1" min="5140" max="5140"/>
    <col width="15.83203125" customWidth="1" min="5141" max="5141"/>
    <col width="7" customWidth="1" min="5142" max="5142"/>
    <col width="14.33203125" customWidth="1" min="5143" max="5143"/>
    <col width="7.5" customWidth="1" min="5144" max="5144"/>
    <col width="17.1640625" customWidth="1" min="5145" max="5145"/>
    <col width="7.33203125" customWidth="1" min="5146" max="5146"/>
    <col width="16.5" bestFit="1" customWidth="1" min="5147" max="5147"/>
    <col width="3" customWidth="1" min="5377" max="5377"/>
    <col width="46.6640625" customWidth="1" min="5378" max="5378"/>
    <col width="14.83203125" bestFit="1" customWidth="1" min="5379" max="5379"/>
    <col width="6.5" customWidth="1" min="5380" max="5380"/>
    <col width="16.83203125" customWidth="1" min="5381" max="5381"/>
    <col width="6.83203125" customWidth="1" min="5382" max="5382"/>
    <col width="14.5" customWidth="1" min="5383" max="5383"/>
    <col width="7.6640625" customWidth="1" min="5384" max="5384"/>
    <col width="14.83203125" customWidth="1" min="5385" max="5385"/>
    <col width="6.6640625" customWidth="1" min="5386" max="5386"/>
    <col width="14.83203125" bestFit="1" customWidth="1" min="5387" max="5387"/>
    <col width="8" customWidth="1" min="5388" max="5388"/>
    <col width="14.83203125" bestFit="1" customWidth="1" min="5389" max="5389"/>
    <col width="7.6640625" customWidth="1" min="5390" max="5390"/>
    <col width="14.5" bestFit="1" customWidth="1" min="5391" max="5391"/>
    <col width="7" customWidth="1" min="5392" max="5392"/>
    <col width="14.33203125" customWidth="1" min="5393" max="5393"/>
    <col width="7" customWidth="1" min="5394" max="5394"/>
    <col width="16.6640625" bestFit="1" customWidth="1" min="5395" max="5395"/>
    <col width="6.5" customWidth="1" min="5396" max="5396"/>
    <col width="15.83203125" customWidth="1" min="5397" max="5397"/>
    <col width="7" customWidth="1" min="5398" max="5398"/>
    <col width="14.33203125" customWidth="1" min="5399" max="5399"/>
    <col width="7.5" customWidth="1" min="5400" max="5400"/>
    <col width="17.1640625" customWidth="1" min="5401" max="5401"/>
    <col width="7.33203125" customWidth="1" min="5402" max="5402"/>
    <col width="16.5" bestFit="1" customWidth="1" min="5403" max="5403"/>
    <col width="3" customWidth="1" min="5633" max="5633"/>
    <col width="46.6640625" customWidth="1" min="5634" max="5634"/>
    <col width="14.83203125" bestFit="1" customWidth="1" min="5635" max="5635"/>
    <col width="6.5" customWidth="1" min="5636" max="5636"/>
    <col width="16.83203125" customWidth="1" min="5637" max="5637"/>
    <col width="6.83203125" customWidth="1" min="5638" max="5638"/>
    <col width="14.5" customWidth="1" min="5639" max="5639"/>
    <col width="7.6640625" customWidth="1" min="5640" max="5640"/>
    <col width="14.83203125" customWidth="1" min="5641" max="5641"/>
    <col width="6.6640625" customWidth="1" min="5642" max="5642"/>
    <col width="14.83203125" bestFit="1" customWidth="1" min="5643" max="5643"/>
    <col width="8" customWidth="1" min="5644" max="5644"/>
    <col width="14.83203125" bestFit="1" customWidth="1" min="5645" max="5645"/>
    <col width="7.6640625" customWidth="1" min="5646" max="5646"/>
    <col width="14.5" bestFit="1" customWidth="1" min="5647" max="5647"/>
    <col width="7" customWidth="1" min="5648" max="5648"/>
    <col width="14.33203125" customWidth="1" min="5649" max="5649"/>
    <col width="7" customWidth="1" min="5650" max="5650"/>
    <col width="16.6640625" bestFit="1" customWidth="1" min="5651" max="5651"/>
    <col width="6.5" customWidth="1" min="5652" max="5652"/>
    <col width="15.83203125" customWidth="1" min="5653" max="5653"/>
    <col width="7" customWidth="1" min="5654" max="5654"/>
    <col width="14.33203125" customWidth="1" min="5655" max="5655"/>
    <col width="7.5" customWidth="1" min="5656" max="5656"/>
    <col width="17.1640625" customWidth="1" min="5657" max="5657"/>
    <col width="7.33203125" customWidth="1" min="5658" max="5658"/>
    <col width="16.5" bestFit="1" customWidth="1" min="5659" max="5659"/>
    <col width="3" customWidth="1" min="5889" max="5889"/>
    <col width="46.6640625" customWidth="1" min="5890" max="5890"/>
    <col width="14.83203125" bestFit="1" customWidth="1" min="5891" max="5891"/>
    <col width="6.5" customWidth="1" min="5892" max="5892"/>
    <col width="16.83203125" customWidth="1" min="5893" max="5893"/>
    <col width="6.83203125" customWidth="1" min="5894" max="5894"/>
    <col width="14.5" customWidth="1" min="5895" max="5895"/>
    <col width="7.6640625" customWidth="1" min="5896" max="5896"/>
    <col width="14.83203125" customWidth="1" min="5897" max="5897"/>
    <col width="6.6640625" customWidth="1" min="5898" max="5898"/>
    <col width="14.83203125" bestFit="1" customWidth="1" min="5899" max="5899"/>
    <col width="8" customWidth="1" min="5900" max="5900"/>
    <col width="14.83203125" bestFit="1" customWidth="1" min="5901" max="5901"/>
    <col width="7.6640625" customWidth="1" min="5902" max="5902"/>
    <col width="14.5" bestFit="1" customWidth="1" min="5903" max="5903"/>
    <col width="7" customWidth="1" min="5904" max="5904"/>
    <col width="14.33203125" customWidth="1" min="5905" max="5905"/>
    <col width="7" customWidth="1" min="5906" max="5906"/>
    <col width="16.6640625" bestFit="1" customWidth="1" min="5907" max="5907"/>
    <col width="6.5" customWidth="1" min="5908" max="5908"/>
    <col width="15.83203125" customWidth="1" min="5909" max="5909"/>
    <col width="7" customWidth="1" min="5910" max="5910"/>
    <col width="14.33203125" customWidth="1" min="5911" max="5911"/>
    <col width="7.5" customWidth="1" min="5912" max="5912"/>
    <col width="17.1640625" customWidth="1" min="5913" max="5913"/>
    <col width="7.33203125" customWidth="1" min="5914" max="5914"/>
    <col width="16.5" bestFit="1" customWidth="1" min="5915" max="5915"/>
    <col width="3" customWidth="1" min="6145" max="6145"/>
    <col width="46.6640625" customWidth="1" min="6146" max="6146"/>
    <col width="14.83203125" bestFit="1" customWidth="1" min="6147" max="6147"/>
    <col width="6.5" customWidth="1" min="6148" max="6148"/>
    <col width="16.83203125" customWidth="1" min="6149" max="6149"/>
    <col width="6.83203125" customWidth="1" min="6150" max="6150"/>
    <col width="14.5" customWidth="1" min="6151" max="6151"/>
    <col width="7.6640625" customWidth="1" min="6152" max="6152"/>
    <col width="14.83203125" customWidth="1" min="6153" max="6153"/>
    <col width="6.6640625" customWidth="1" min="6154" max="6154"/>
    <col width="14.83203125" bestFit="1" customWidth="1" min="6155" max="6155"/>
    <col width="8" customWidth="1" min="6156" max="6156"/>
    <col width="14.83203125" bestFit="1" customWidth="1" min="6157" max="6157"/>
    <col width="7.6640625" customWidth="1" min="6158" max="6158"/>
    <col width="14.5" bestFit="1" customWidth="1" min="6159" max="6159"/>
    <col width="7" customWidth="1" min="6160" max="6160"/>
    <col width="14.33203125" customWidth="1" min="6161" max="6161"/>
    <col width="7" customWidth="1" min="6162" max="6162"/>
    <col width="16.6640625" bestFit="1" customWidth="1" min="6163" max="6163"/>
    <col width="6.5" customWidth="1" min="6164" max="6164"/>
    <col width="15.83203125" customWidth="1" min="6165" max="6165"/>
    <col width="7" customWidth="1" min="6166" max="6166"/>
    <col width="14.33203125" customWidth="1" min="6167" max="6167"/>
    <col width="7.5" customWidth="1" min="6168" max="6168"/>
    <col width="17.1640625" customWidth="1" min="6169" max="6169"/>
    <col width="7.33203125" customWidth="1" min="6170" max="6170"/>
    <col width="16.5" bestFit="1" customWidth="1" min="6171" max="6171"/>
    <col width="3" customWidth="1" min="6401" max="6401"/>
    <col width="46.6640625" customWidth="1" min="6402" max="6402"/>
    <col width="14.83203125" bestFit="1" customWidth="1" min="6403" max="6403"/>
    <col width="6.5" customWidth="1" min="6404" max="6404"/>
    <col width="16.83203125" customWidth="1" min="6405" max="6405"/>
    <col width="6.83203125" customWidth="1" min="6406" max="6406"/>
    <col width="14.5" customWidth="1" min="6407" max="6407"/>
    <col width="7.6640625" customWidth="1" min="6408" max="6408"/>
    <col width="14.83203125" customWidth="1" min="6409" max="6409"/>
    <col width="6.6640625" customWidth="1" min="6410" max="6410"/>
    <col width="14.83203125" bestFit="1" customWidth="1" min="6411" max="6411"/>
    <col width="8" customWidth="1" min="6412" max="6412"/>
    <col width="14.83203125" bestFit="1" customWidth="1" min="6413" max="6413"/>
    <col width="7.6640625" customWidth="1" min="6414" max="6414"/>
    <col width="14.5" bestFit="1" customWidth="1" min="6415" max="6415"/>
    <col width="7" customWidth="1" min="6416" max="6416"/>
    <col width="14.33203125" customWidth="1" min="6417" max="6417"/>
    <col width="7" customWidth="1" min="6418" max="6418"/>
    <col width="16.6640625" bestFit="1" customWidth="1" min="6419" max="6419"/>
    <col width="6.5" customWidth="1" min="6420" max="6420"/>
    <col width="15.83203125" customWidth="1" min="6421" max="6421"/>
    <col width="7" customWidth="1" min="6422" max="6422"/>
    <col width="14.33203125" customWidth="1" min="6423" max="6423"/>
    <col width="7.5" customWidth="1" min="6424" max="6424"/>
    <col width="17.1640625" customWidth="1" min="6425" max="6425"/>
    <col width="7.33203125" customWidth="1" min="6426" max="6426"/>
    <col width="16.5" bestFit="1" customWidth="1" min="6427" max="6427"/>
    <col width="3" customWidth="1" min="6657" max="6657"/>
    <col width="46.6640625" customWidth="1" min="6658" max="6658"/>
    <col width="14.83203125" bestFit="1" customWidth="1" min="6659" max="6659"/>
    <col width="6.5" customWidth="1" min="6660" max="6660"/>
    <col width="16.83203125" customWidth="1" min="6661" max="6661"/>
    <col width="6.83203125" customWidth="1" min="6662" max="6662"/>
    <col width="14.5" customWidth="1" min="6663" max="6663"/>
    <col width="7.6640625" customWidth="1" min="6664" max="6664"/>
    <col width="14.83203125" customWidth="1" min="6665" max="6665"/>
    <col width="6.6640625" customWidth="1" min="6666" max="6666"/>
    <col width="14.83203125" bestFit="1" customWidth="1" min="6667" max="6667"/>
    <col width="8" customWidth="1" min="6668" max="6668"/>
    <col width="14.83203125" bestFit="1" customWidth="1" min="6669" max="6669"/>
    <col width="7.6640625" customWidth="1" min="6670" max="6670"/>
    <col width="14.5" bestFit="1" customWidth="1" min="6671" max="6671"/>
    <col width="7" customWidth="1" min="6672" max="6672"/>
    <col width="14.33203125" customWidth="1" min="6673" max="6673"/>
    <col width="7" customWidth="1" min="6674" max="6674"/>
    <col width="16.6640625" bestFit="1" customWidth="1" min="6675" max="6675"/>
    <col width="6.5" customWidth="1" min="6676" max="6676"/>
    <col width="15.83203125" customWidth="1" min="6677" max="6677"/>
    <col width="7" customWidth="1" min="6678" max="6678"/>
    <col width="14.33203125" customWidth="1" min="6679" max="6679"/>
    <col width="7.5" customWidth="1" min="6680" max="6680"/>
    <col width="17.1640625" customWidth="1" min="6681" max="6681"/>
    <col width="7.33203125" customWidth="1" min="6682" max="6682"/>
    <col width="16.5" bestFit="1" customWidth="1" min="6683" max="6683"/>
    <col width="3" customWidth="1" min="6913" max="6913"/>
    <col width="46.6640625" customWidth="1" min="6914" max="6914"/>
    <col width="14.83203125" bestFit="1" customWidth="1" min="6915" max="6915"/>
    <col width="6.5" customWidth="1" min="6916" max="6916"/>
    <col width="16.83203125" customWidth="1" min="6917" max="6917"/>
    <col width="6.83203125" customWidth="1" min="6918" max="6918"/>
    <col width="14.5" customWidth="1" min="6919" max="6919"/>
    <col width="7.6640625" customWidth="1" min="6920" max="6920"/>
    <col width="14.83203125" customWidth="1" min="6921" max="6921"/>
    <col width="6.6640625" customWidth="1" min="6922" max="6922"/>
    <col width="14.83203125" bestFit="1" customWidth="1" min="6923" max="6923"/>
    <col width="8" customWidth="1" min="6924" max="6924"/>
    <col width="14.83203125" bestFit="1" customWidth="1" min="6925" max="6925"/>
    <col width="7.6640625" customWidth="1" min="6926" max="6926"/>
    <col width="14.5" bestFit="1" customWidth="1" min="6927" max="6927"/>
    <col width="7" customWidth="1" min="6928" max="6928"/>
    <col width="14.33203125" customWidth="1" min="6929" max="6929"/>
    <col width="7" customWidth="1" min="6930" max="6930"/>
    <col width="16.6640625" bestFit="1" customWidth="1" min="6931" max="6931"/>
    <col width="6.5" customWidth="1" min="6932" max="6932"/>
    <col width="15.83203125" customWidth="1" min="6933" max="6933"/>
    <col width="7" customWidth="1" min="6934" max="6934"/>
    <col width="14.33203125" customWidth="1" min="6935" max="6935"/>
    <col width="7.5" customWidth="1" min="6936" max="6936"/>
    <col width="17.1640625" customWidth="1" min="6937" max="6937"/>
    <col width="7.33203125" customWidth="1" min="6938" max="6938"/>
    <col width="16.5" bestFit="1" customWidth="1" min="6939" max="6939"/>
    <col width="3" customWidth="1" min="7169" max="7169"/>
    <col width="46.6640625" customWidth="1" min="7170" max="7170"/>
    <col width="14.83203125" bestFit="1" customWidth="1" min="7171" max="7171"/>
    <col width="6.5" customWidth="1" min="7172" max="7172"/>
    <col width="16.83203125" customWidth="1" min="7173" max="7173"/>
    <col width="6.83203125" customWidth="1" min="7174" max="7174"/>
    <col width="14.5" customWidth="1" min="7175" max="7175"/>
    <col width="7.6640625" customWidth="1" min="7176" max="7176"/>
    <col width="14.83203125" customWidth="1" min="7177" max="7177"/>
    <col width="6.6640625" customWidth="1" min="7178" max="7178"/>
    <col width="14.83203125" bestFit="1" customWidth="1" min="7179" max="7179"/>
    <col width="8" customWidth="1" min="7180" max="7180"/>
    <col width="14.83203125" bestFit="1" customWidth="1" min="7181" max="7181"/>
    <col width="7.6640625" customWidth="1" min="7182" max="7182"/>
    <col width="14.5" bestFit="1" customWidth="1" min="7183" max="7183"/>
    <col width="7" customWidth="1" min="7184" max="7184"/>
    <col width="14.33203125" customWidth="1" min="7185" max="7185"/>
    <col width="7" customWidth="1" min="7186" max="7186"/>
    <col width="16.6640625" bestFit="1" customWidth="1" min="7187" max="7187"/>
    <col width="6.5" customWidth="1" min="7188" max="7188"/>
    <col width="15.83203125" customWidth="1" min="7189" max="7189"/>
    <col width="7" customWidth="1" min="7190" max="7190"/>
    <col width="14.33203125" customWidth="1" min="7191" max="7191"/>
    <col width="7.5" customWidth="1" min="7192" max="7192"/>
    <col width="17.1640625" customWidth="1" min="7193" max="7193"/>
    <col width="7.33203125" customWidth="1" min="7194" max="7194"/>
    <col width="16.5" bestFit="1" customWidth="1" min="7195" max="7195"/>
    <col width="3" customWidth="1" min="7425" max="7425"/>
    <col width="46.6640625" customWidth="1" min="7426" max="7426"/>
    <col width="14.83203125" bestFit="1" customWidth="1" min="7427" max="7427"/>
    <col width="6.5" customWidth="1" min="7428" max="7428"/>
    <col width="16.83203125" customWidth="1" min="7429" max="7429"/>
    <col width="6.83203125" customWidth="1" min="7430" max="7430"/>
    <col width="14.5" customWidth="1" min="7431" max="7431"/>
    <col width="7.6640625" customWidth="1" min="7432" max="7432"/>
    <col width="14.83203125" customWidth="1" min="7433" max="7433"/>
    <col width="6.6640625" customWidth="1" min="7434" max="7434"/>
    <col width="14.83203125" bestFit="1" customWidth="1" min="7435" max="7435"/>
    <col width="8" customWidth="1" min="7436" max="7436"/>
    <col width="14.83203125" bestFit="1" customWidth="1" min="7437" max="7437"/>
    <col width="7.6640625" customWidth="1" min="7438" max="7438"/>
    <col width="14.5" bestFit="1" customWidth="1" min="7439" max="7439"/>
    <col width="7" customWidth="1" min="7440" max="7440"/>
    <col width="14.33203125" customWidth="1" min="7441" max="7441"/>
    <col width="7" customWidth="1" min="7442" max="7442"/>
    <col width="16.6640625" bestFit="1" customWidth="1" min="7443" max="7443"/>
    <col width="6.5" customWidth="1" min="7444" max="7444"/>
    <col width="15.83203125" customWidth="1" min="7445" max="7445"/>
    <col width="7" customWidth="1" min="7446" max="7446"/>
    <col width="14.33203125" customWidth="1" min="7447" max="7447"/>
    <col width="7.5" customWidth="1" min="7448" max="7448"/>
    <col width="17.1640625" customWidth="1" min="7449" max="7449"/>
    <col width="7.33203125" customWidth="1" min="7450" max="7450"/>
    <col width="16.5" bestFit="1" customWidth="1" min="7451" max="7451"/>
    <col width="3" customWidth="1" min="7681" max="7681"/>
    <col width="46.6640625" customWidth="1" min="7682" max="7682"/>
    <col width="14.83203125" bestFit="1" customWidth="1" min="7683" max="7683"/>
    <col width="6.5" customWidth="1" min="7684" max="7684"/>
    <col width="16.83203125" customWidth="1" min="7685" max="7685"/>
    <col width="6.83203125" customWidth="1" min="7686" max="7686"/>
    <col width="14.5" customWidth="1" min="7687" max="7687"/>
    <col width="7.6640625" customWidth="1" min="7688" max="7688"/>
    <col width="14.83203125" customWidth="1" min="7689" max="7689"/>
    <col width="6.6640625" customWidth="1" min="7690" max="7690"/>
    <col width="14.83203125" bestFit="1" customWidth="1" min="7691" max="7691"/>
    <col width="8" customWidth="1" min="7692" max="7692"/>
    <col width="14.83203125" bestFit="1" customWidth="1" min="7693" max="7693"/>
    <col width="7.6640625" customWidth="1" min="7694" max="7694"/>
    <col width="14.5" bestFit="1" customWidth="1" min="7695" max="7695"/>
    <col width="7" customWidth="1" min="7696" max="7696"/>
    <col width="14.33203125" customWidth="1" min="7697" max="7697"/>
    <col width="7" customWidth="1" min="7698" max="7698"/>
    <col width="16.6640625" bestFit="1" customWidth="1" min="7699" max="7699"/>
    <col width="6.5" customWidth="1" min="7700" max="7700"/>
    <col width="15.83203125" customWidth="1" min="7701" max="7701"/>
    <col width="7" customWidth="1" min="7702" max="7702"/>
    <col width="14.33203125" customWidth="1" min="7703" max="7703"/>
    <col width="7.5" customWidth="1" min="7704" max="7704"/>
    <col width="17.1640625" customWidth="1" min="7705" max="7705"/>
    <col width="7.33203125" customWidth="1" min="7706" max="7706"/>
    <col width="16.5" bestFit="1" customWidth="1" min="7707" max="7707"/>
    <col width="3" customWidth="1" min="7937" max="7937"/>
    <col width="46.6640625" customWidth="1" min="7938" max="7938"/>
    <col width="14.83203125" bestFit="1" customWidth="1" min="7939" max="7939"/>
    <col width="6.5" customWidth="1" min="7940" max="7940"/>
    <col width="16.83203125" customWidth="1" min="7941" max="7941"/>
    <col width="6.83203125" customWidth="1" min="7942" max="7942"/>
    <col width="14.5" customWidth="1" min="7943" max="7943"/>
    <col width="7.6640625" customWidth="1" min="7944" max="7944"/>
    <col width="14.83203125" customWidth="1" min="7945" max="7945"/>
    <col width="6.6640625" customWidth="1" min="7946" max="7946"/>
    <col width="14.83203125" bestFit="1" customWidth="1" min="7947" max="7947"/>
    <col width="8" customWidth="1" min="7948" max="7948"/>
    <col width="14.83203125" bestFit="1" customWidth="1" min="7949" max="7949"/>
    <col width="7.6640625" customWidth="1" min="7950" max="7950"/>
    <col width="14.5" bestFit="1" customWidth="1" min="7951" max="7951"/>
    <col width="7" customWidth="1" min="7952" max="7952"/>
    <col width="14.33203125" customWidth="1" min="7953" max="7953"/>
    <col width="7" customWidth="1" min="7954" max="7954"/>
    <col width="16.6640625" bestFit="1" customWidth="1" min="7955" max="7955"/>
    <col width="6.5" customWidth="1" min="7956" max="7956"/>
    <col width="15.83203125" customWidth="1" min="7957" max="7957"/>
    <col width="7" customWidth="1" min="7958" max="7958"/>
    <col width="14.33203125" customWidth="1" min="7959" max="7959"/>
    <col width="7.5" customWidth="1" min="7960" max="7960"/>
    <col width="17.1640625" customWidth="1" min="7961" max="7961"/>
    <col width="7.33203125" customWidth="1" min="7962" max="7962"/>
    <col width="16.5" bestFit="1" customWidth="1" min="7963" max="7963"/>
    <col width="3" customWidth="1" min="8193" max="8193"/>
    <col width="46.6640625" customWidth="1" min="8194" max="8194"/>
    <col width="14.83203125" bestFit="1" customWidth="1" min="8195" max="8195"/>
    <col width="6.5" customWidth="1" min="8196" max="8196"/>
    <col width="16.83203125" customWidth="1" min="8197" max="8197"/>
    <col width="6.83203125" customWidth="1" min="8198" max="8198"/>
    <col width="14.5" customWidth="1" min="8199" max="8199"/>
    <col width="7.6640625" customWidth="1" min="8200" max="8200"/>
    <col width="14.83203125" customWidth="1" min="8201" max="8201"/>
    <col width="6.6640625" customWidth="1" min="8202" max="8202"/>
    <col width="14.83203125" bestFit="1" customWidth="1" min="8203" max="8203"/>
    <col width="8" customWidth="1" min="8204" max="8204"/>
    <col width="14.83203125" bestFit="1" customWidth="1" min="8205" max="8205"/>
    <col width="7.6640625" customWidth="1" min="8206" max="8206"/>
    <col width="14.5" bestFit="1" customWidth="1" min="8207" max="8207"/>
    <col width="7" customWidth="1" min="8208" max="8208"/>
    <col width="14.33203125" customWidth="1" min="8209" max="8209"/>
    <col width="7" customWidth="1" min="8210" max="8210"/>
    <col width="16.6640625" bestFit="1" customWidth="1" min="8211" max="8211"/>
    <col width="6.5" customWidth="1" min="8212" max="8212"/>
    <col width="15.83203125" customWidth="1" min="8213" max="8213"/>
    <col width="7" customWidth="1" min="8214" max="8214"/>
    <col width="14.33203125" customWidth="1" min="8215" max="8215"/>
    <col width="7.5" customWidth="1" min="8216" max="8216"/>
    <col width="17.1640625" customWidth="1" min="8217" max="8217"/>
    <col width="7.33203125" customWidth="1" min="8218" max="8218"/>
    <col width="16.5" bestFit="1" customWidth="1" min="8219" max="8219"/>
    <col width="3" customWidth="1" min="8449" max="8449"/>
    <col width="46.6640625" customWidth="1" min="8450" max="8450"/>
    <col width="14.83203125" bestFit="1" customWidth="1" min="8451" max="8451"/>
    <col width="6.5" customWidth="1" min="8452" max="8452"/>
    <col width="16.83203125" customWidth="1" min="8453" max="8453"/>
    <col width="6.83203125" customWidth="1" min="8454" max="8454"/>
    <col width="14.5" customWidth="1" min="8455" max="8455"/>
    <col width="7.6640625" customWidth="1" min="8456" max="8456"/>
    <col width="14.83203125" customWidth="1" min="8457" max="8457"/>
    <col width="6.6640625" customWidth="1" min="8458" max="8458"/>
    <col width="14.83203125" bestFit="1" customWidth="1" min="8459" max="8459"/>
    <col width="8" customWidth="1" min="8460" max="8460"/>
    <col width="14.83203125" bestFit="1" customWidth="1" min="8461" max="8461"/>
    <col width="7.6640625" customWidth="1" min="8462" max="8462"/>
    <col width="14.5" bestFit="1" customWidth="1" min="8463" max="8463"/>
    <col width="7" customWidth="1" min="8464" max="8464"/>
    <col width="14.33203125" customWidth="1" min="8465" max="8465"/>
    <col width="7" customWidth="1" min="8466" max="8466"/>
    <col width="16.6640625" bestFit="1" customWidth="1" min="8467" max="8467"/>
    <col width="6.5" customWidth="1" min="8468" max="8468"/>
    <col width="15.83203125" customWidth="1" min="8469" max="8469"/>
    <col width="7" customWidth="1" min="8470" max="8470"/>
    <col width="14.33203125" customWidth="1" min="8471" max="8471"/>
    <col width="7.5" customWidth="1" min="8472" max="8472"/>
    <col width="17.1640625" customWidth="1" min="8473" max="8473"/>
    <col width="7.33203125" customWidth="1" min="8474" max="8474"/>
    <col width="16.5" bestFit="1" customWidth="1" min="8475" max="8475"/>
    <col width="3" customWidth="1" min="8705" max="8705"/>
    <col width="46.6640625" customWidth="1" min="8706" max="8706"/>
    <col width="14.83203125" bestFit="1" customWidth="1" min="8707" max="8707"/>
    <col width="6.5" customWidth="1" min="8708" max="8708"/>
    <col width="16.83203125" customWidth="1" min="8709" max="8709"/>
    <col width="6.83203125" customWidth="1" min="8710" max="8710"/>
    <col width="14.5" customWidth="1" min="8711" max="8711"/>
    <col width="7.6640625" customWidth="1" min="8712" max="8712"/>
    <col width="14.83203125" customWidth="1" min="8713" max="8713"/>
    <col width="6.6640625" customWidth="1" min="8714" max="8714"/>
    <col width="14.83203125" bestFit="1" customWidth="1" min="8715" max="8715"/>
    <col width="8" customWidth="1" min="8716" max="8716"/>
    <col width="14.83203125" bestFit="1" customWidth="1" min="8717" max="8717"/>
    <col width="7.6640625" customWidth="1" min="8718" max="8718"/>
    <col width="14.5" bestFit="1" customWidth="1" min="8719" max="8719"/>
    <col width="7" customWidth="1" min="8720" max="8720"/>
    <col width="14.33203125" customWidth="1" min="8721" max="8721"/>
    <col width="7" customWidth="1" min="8722" max="8722"/>
    <col width="16.6640625" bestFit="1" customWidth="1" min="8723" max="8723"/>
    <col width="6.5" customWidth="1" min="8724" max="8724"/>
    <col width="15.83203125" customWidth="1" min="8725" max="8725"/>
    <col width="7" customWidth="1" min="8726" max="8726"/>
    <col width="14.33203125" customWidth="1" min="8727" max="8727"/>
    <col width="7.5" customWidth="1" min="8728" max="8728"/>
    <col width="17.1640625" customWidth="1" min="8729" max="8729"/>
    <col width="7.33203125" customWidth="1" min="8730" max="8730"/>
    <col width="16.5" bestFit="1" customWidth="1" min="8731" max="8731"/>
    <col width="3" customWidth="1" min="8961" max="8961"/>
    <col width="46.6640625" customWidth="1" min="8962" max="8962"/>
    <col width="14.83203125" bestFit="1" customWidth="1" min="8963" max="8963"/>
    <col width="6.5" customWidth="1" min="8964" max="8964"/>
    <col width="16.83203125" customWidth="1" min="8965" max="8965"/>
    <col width="6.83203125" customWidth="1" min="8966" max="8966"/>
    <col width="14.5" customWidth="1" min="8967" max="8967"/>
    <col width="7.6640625" customWidth="1" min="8968" max="8968"/>
    <col width="14.83203125" customWidth="1" min="8969" max="8969"/>
    <col width="6.6640625" customWidth="1" min="8970" max="8970"/>
    <col width="14.83203125" bestFit="1" customWidth="1" min="8971" max="8971"/>
    <col width="8" customWidth="1" min="8972" max="8972"/>
    <col width="14.83203125" bestFit="1" customWidth="1" min="8973" max="8973"/>
    <col width="7.6640625" customWidth="1" min="8974" max="8974"/>
    <col width="14.5" bestFit="1" customWidth="1" min="8975" max="8975"/>
    <col width="7" customWidth="1" min="8976" max="8976"/>
    <col width="14.33203125" customWidth="1" min="8977" max="8977"/>
    <col width="7" customWidth="1" min="8978" max="8978"/>
    <col width="16.6640625" bestFit="1" customWidth="1" min="8979" max="8979"/>
    <col width="6.5" customWidth="1" min="8980" max="8980"/>
    <col width="15.83203125" customWidth="1" min="8981" max="8981"/>
    <col width="7" customWidth="1" min="8982" max="8982"/>
    <col width="14.33203125" customWidth="1" min="8983" max="8983"/>
    <col width="7.5" customWidth="1" min="8984" max="8984"/>
    <col width="17.1640625" customWidth="1" min="8985" max="8985"/>
    <col width="7.33203125" customWidth="1" min="8986" max="8986"/>
    <col width="16.5" bestFit="1" customWidth="1" min="8987" max="8987"/>
    <col width="3" customWidth="1" min="9217" max="9217"/>
    <col width="46.6640625" customWidth="1" min="9218" max="9218"/>
    <col width="14.83203125" bestFit="1" customWidth="1" min="9219" max="9219"/>
    <col width="6.5" customWidth="1" min="9220" max="9220"/>
    <col width="16.83203125" customWidth="1" min="9221" max="9221"/>
    <col width="6.83203125" customWidth="1" min="9222" max="9222"/>
    <col width="14.5" customWidth="1" min="9223" max="9223"/>
    <col width="7.6640625" customWidth="1" min="9224" max="9224"/>
    <col width="14.83203125" customWidth="1" min="9225" max="9225"/>
    <col width="6.6640625" customWidth="1" min="9226" max="9226"/>
    <col width="14.83203125" bestFit="1" customWidth="1" min="9227" max="9227"/>
    <col width="8" customWidth="1" min="9228" max="9228"/>
    <col width="14.83203125" bestFit="1" customWidth="1" min="9229" max="9229"/>
    <col width="7.6640625" customWidth="1" min="9230" max="9230"/>
    <col width="14.5" bestFit="1" customWidth="1" min="9231" max="9231"/>
    <col width="7" customWidth="1" min="9232" max="9232"/>
    <col width="14.33203125" customWidth="1" min="9233" max="9233"/>
    <col width="7" customWidth="1" min="9234" max="9234"/>
    <col width="16.6640625" bestFit="1" customWidth="1" min="9235" max="9235"/>
    <col width="6.5" customWidth="1" min="9236" max="9236"/>
    <col width="15.83203125" customWidth="1" min="9237" max="9237"/>
    <col width="7" customWidth="1" min="9238" max="9238"/>
    <col width="14.33203125" customWidth="1" min="9239" max="9239"/>
    <col width="7.5" customWidth="1" min="9240" max="9240"/>
    <col width="17.1640625" customWidth="1" min="9241" max="9241"/>
    <col width="7.33203125" customWidth="1" min="9242" max="9242"/>
    <col width="16.5" bestFit="1" customWidth="1" min="9243" max="9243"/>
    <col width="3" customWidth="1" min="9473" max="9473"/>
    <col width="46.6640625" customWidth="1" min="9474" max="9474"/>
    <col width="14.83203125" bestFit="1" customWidth="1" min="9475" max="9475"/>
    <col width="6.5" customWidth="1" min="9476" max="9476"/>
    <col width="16.83203125" customWidth="1" min="9477" max="9477"/>
    <col width="6.83203125" customWidth="1" min="9478" max="9478"/>
    <col width="14.5" customWidth="1" min="9479" max="9479"/>
    <col width="7.6640625" customWidth="1" min="9480" max="9480"/>
    <col width="14.83203125" customWidth="1" min="9481" max="9481"/>
    <col width="6.6640625" customWidth="1" min="9482" max="9482"/>
    <col width="14.83203125" bestFit="1" customWidth="1" min="9483" max="9483"/>
    <col width="8" customWidth="1" min="9484" max="9484"/>
    <col width="14.83203125" bestFit="1" customWidth="1" min="9485" max="9485"/>
    <col width="7.6640625" customWidth="1" min="9486" max="9486"/>
    <col width="14.5" bestFit="1" customWidth="1" min="9487" max="9487"/>
    <col width="7" customWidth="1" min="9488" max="9488"/>
    <col width="14.33203125" customWidth="1" min="9489" max="9489"/>
    <col width="7" customWidth="1" min="9490" max="9490"/>
    <col width="16.6640625" bestFit="1" customWidth="1" min="9491" max="9491"/>
    <col width="6.5" customWidth="1" min="9492" max="9492"/>
    <col width="15.83203125" customWidth="1" min="9493" max="9493"/>
    <col width="7" customWidth="1" min="9494" max="9494"/>
    <col width="14.33203125" customWidth="1" min="9495" max="9495"/>
    <col width="7.5" customWidth="1" min="9496" max="9496"/>
    <col width="17.1640625" customWidth="1" min="9497" max="9497"/>
    <col width="7.33203125" customWidth="1" min="9498" max="9498"/>
    <col width="16.5" bestFit="1" customWidth="1" min="9499" max="9499"/>
    <col width="3" customWidth="1" min="9729" max="9729"/>
    <col width="46.6640625" customWidth="1" min="9730" max="9730"/>
    <col width="14.83203125" bestFit="1" customWidth="1" min="9731" max="9731"/>
    <col width="6.5" customWidth="1" min="9732" max="9732"/>
    <col width="16.83203125" customWidth="1" min="9733" max="9733"/>
    <col width="6.83203125" customWidth="1" min="9734" max="9734"/>
    <col width="14.5" customWidth="1" min="9735" max="9735"/>
    <col width="7.6640625" customWidth="1" min="9736" max="9736"/>
    <col width="14.83203125" customWidth="1" min="9737" max="9737"/>
    <col width="6.6640625" customWidth="1" min="9738" max="9738"/>
    <col width="14.83203125" bestFit="1" customWidth="1" min="9739" max="9739"/>
    <col width="8" customWidth="1" min="9740" max="9740"/>
    <col width="14.83203125" bestFit="1" customWidth="1" min="9741" max="9741"/>
    <col width="7.6640625" customWidth="1" min="9742" max="9742"/>
    <col width="14.5" bestFit="1" customWidth="1" min="9743" max="9743"/>
    <col width="7" customWidth="1" min="9744" max="9744"/>
    <col width="14.33203125" customWidth="1" min="9745" max="9745"/>
    <col width="7" customWidth="1" min="9746" max="9746"/>
    <col width="16.6640625" bestFit="1" customWidth="1" min="9747" max="9747"/>
    <col width="6.5" customWidth="1" min="9748" max="9748"/>
    <col width="15.83203125" customWidth="1" min="9749" max="9749"/>
    <col width="7" customWidth="1" min="9750" max="9750"/>
    <col width="14.33203125" customWidth="1" min="9751" max="9751"/>
    <col width="7.5" customWidth="1" min="9752" max="9752"/>
    <col width="17.1640625" customWidth="1" min="9753" max="9753"/>
    <col width="7.33203125" customWidth="1" min="9754" max="9754"/>
    <col width="16.5" bestFit="1" customWidth="1" min="9755" max="9755"/>
    <col width="3" customWidth="1" min="9985" max="9985"/>
    <col width="46.6640625" customWidth="1" min="9986" max="9986"/>
    <col width="14.83203125" bestFit="1" customWidth="1" min="9987" max="9987"/>
    <col width="6.5" customWidth="1" min="9988" max="9988"/>
    <col width="16.83203125" customWidth="1" min="9989" max="9989"/>
    <col width="6.83203125" customWidth="1" min="9990" max="9990"/>
    <col width="14.5" customWidth="1" min="9991" max="9991"/>
    <col width="7.6640625" customWidth="1" min="9992" max="9992"/>
    <col width="14.83203125" customWidth="1" min="9993" max="9993"/>
    <col width="6.6640625" customWidth="1" min="9994" max="9994"/>
    <col width="14.83203125" bestFit="1" customWidth="1" min="9995" max="9995"/>
    <col width="8" customWidth="1" min="9996" max="9996"/>
    <col width="14.83203125" bestFit="1" customWidth="1" min="9997" max="9997"/>
    <col width="7.6640625" customWidth="1" min="9998" max="9998"/>
    <col width="14.5" bestFit="1" customWidth="1" min="9999" max="9999"/>
    <col width="7" customWidth="1" min="10000" max="10000"/>
    <col width="14.33203125" customWidth="1" min="10001" max="10001"/>
    <col width="7" customWidth="1" min="10002" max="10002"/>
    <col width="16.6640625" bestFit="1" customWidth="1" min="10003" max="10003"/>
    <col width="6.5" customWidth="1" min="10004" max="10004"/>
    <col width="15.83203125" customWidth="1" min="10005" max="10005"/>
    <col width="7" customWidth="1" min="10006" max="10006"/>
    <col width="14.33203125" customWidth="1" min="10007" max="10007"/>
    <col width="7.5" customWidth="1" min="10008" max="10008"/>
    <col width="17.1640625" customWidth="1" min="10009" max="10009"/>
    <col width="7.33203125" customWidth="1" min="10010" max="10010"/>
    <col width="16.5" bestFit="1" customWidth="1" min="10011" max="10011"/>
    <col width="3" customWidth="1" min="10241" max="10241"/>
    <col width="46.6640625" customWidth="1" min="10242" max="10242"/>
    <col width="14.83203125" bestFit="1" customWidth="1" min="10243" max="10243"/>
    <col width="6.5" customWidth="1" min="10244" max="10244"/>
    <col width="16.83203125" customWidth="1" min="10245" max="10245"/>
    <col width="6.83203125" customWidth="1" min="10246" max="10246"/>
    <col width="14.5" customWidth="1" min="10247" max="10247"/>
    <col width="7.6640625" customWidth="1" min="10248" max="10248"/>
    <col width="14.83203125" customWidth="1" min="10249" max="10249"/>
    <col width="6.6640625" customWidth="1" min="10250" max="10250"/>
    <col width="14.83203125" bestFit="1" customWidth="1" min="10251" max="10251"/>
    <col width="8" customWidth="1" min="10252" max="10252"/>
    <col width="14.83203125" bestFit="1" customWidth="1" min="10253" max="10253"/>
    <col width="7.6640625" customWidth="1" min="10254" max="10254"/>
    <col width="14.5" bestFit="1" customWidth="1" min="10255" max="10255"/>
    <col width="7" customWidth="1" min="10256" max="10256"/>
    <col width="14.33203125" customWidth="1" min="10257" max="10257"/>
    <col width="7" customWidth="1" min="10258" max="10258"/>
    <col width="16.6640625" bestFit="1" customWidth="1" min="10259" max="10259"/>
    <col width="6.5" customWidth="1" min="10260" max="10260"/>
    <col width="15.83203125" customWidth="1" min="10261" max="10261"/>
    <col width="7" customWidth="1" min="10262" max="10262"/>
    <col width="14.33203125" customWidth="1" min="10263" max="10263"/>
    <col width="7.5" customWidth="1" min="10264" max="10264"/>
    <col width="17.1640625" customWidth="1" min="10265" max="10265"/>
    <col width="7.33203125" customWidth="1" min="10266" max="10266"/>
    <col width="16.5" bestFit="1" customWidth="1" min="10267" max="10267"/>
    <col width="3" customWidth="1" min="10497" max="10497"/>
    <col width="46.6640625" customWidth="1" min="10498" max="10498"/>
    <col width="14.83203125" bestFit="1" customWidth="1" min="10499" max="10499"/>
    <col width="6.5" customWidth="1" min="10500" max="10500"/>
    <col width="16.83203125" customWidth="1" min="10501" max="10501"/>
    <col width="6.83203125" customWidth="1" min="10502" max="10502"/>
    <col width="14.5" customWidth="1" min="10503" max="10503"/>
    <col width="7.6640625" customWidth="1" min="10504" max="10504"/>
    <col width="14.83203125" customWidth="1" min="10505" max="10505"/>
    <col width="6.6640625" customWidth="1" min="10506" max="10506"/>
    <col width="14.83203125" bestFit="1" customWidth="1" min="10507" max="10507"/>
    <col width="8" customWidth="1" min="10508" max="10508"/>
    <col width="14.83203125" bestFit="1" customWidth="1" min="10509" max="10509"/>
    <col width="7.6640625" customWidth="1" min="10510" max="10510"/>
    <col width="14.5" bestFit="1" customWidth="1" min="10511" max="10511"/>
    <col width="7" customWidth="1" min="10512" max="10512"/>
    <col width="14.33203125" customWidth="1" min="10513" max="10513"/>
    <col width="7" customWidth="1" min="10514" max="10514"/>
    <col width="16.6640625" bestFit="1" customWidth="1" min="10515" max="10515"/>
    <col width="6.5" customWidth="1" min="10516" max="10516"/>
    <col width="15.83203125" customWidth="1" min="10517" max="10517"/>
    <col width="7" customWidth="1" min="10518" max="10518"/>
    <col width="14.33203125" customWidth="1" min="10519" max="10519"/>
    <col width="7.5" customWidth="1" min="10520" max="10520"/>
    <col width="17.1640625" customWidth="1" min="10521" max="10521"/>
    <col width="7.33203125" customWidth="1" min="10522" max="10522"/>
    <col width="16.5" bestFit="1" customWidth="1" min="10523" max="10523"/>
    <col width="3" customWidth="1" min="10753" max="10753"/>
    <col width="46.6640625" customWidth="1" min="10754" max="10754"/>
    <col width="14.83203125" bestFit="1" customWidth="1" min="10755" max="10755"/>
    <col width="6.5" customWidth="1" min="10756" max="10756"/>
    <col width="16.83203125" customWidth="1" min="10757" max="10757"/>
    <col width="6.83203125" customWidth="1" min="10758" max="10758"/>
    <col width="14.5" customWidth="1" min="10759" max="10759"/>
    <col width="7.6640625" customWidth="1" min="10760" max="10760"/>
    <col width="14.83203125" customWidth="1" min="10761" max="10761"/>
    <col width="6.6640625" customWidth="1" min="10762" max="10762"/>
    <col width="14.83203125" bestFit="1" customWidth="1" min="10763" max="10763"/>
    <col width="8" customWidth="1" min="10764" max="10764"/>
    <col width="14.83203125" bestFit="1" customWidth="1" min="10765" max="10765"/>
    <col width="7.6640625" customWidth="1" min="10766" max="10766"/>
    <col width="14.5" bestFit="1" customWidth="1" min="10767" max="10767"/>
    <col width="7" customWidth="1" min="10768" max="10768"/>
    <col width="14.33203125" customWidth="1" min="10769" max="10769"/>
    <col width="7" customWidth="1" min="10770" max="10770"/>
    <col width="16.6640625" bestFit="1" customWidth="1" min="10771" max="10771"/>
    <col width="6.5" customWidth="1" min="10772" max="10772"/>
    <col width="15.83203125" customWidth="1" min="10773" max="10773"/>
    <col width="7" customWidth="1" min="10774" max="10774"/>
    <col width="14.33203125" customWidth="1" min="10775" max="10775"/>
    <col width="7.5" customWidth="1" min="10776" max="10776"/>
    <col width="17.1640625" customWidth="1" min="10777" max="10777"/>
    <col width="7.33203125" customWidth="1" min="10778" max="10778"/>
    <col width="16.5" bestFit="1" customWidth="1" min="10779" max="10779"/>
    <col width="3" customWidth="1" min="11009" max="11009"/>
    <col width="46.6640625" customWidth="1" min="11010" max="11010"/>
    <col width="14.83203125" bestFit="1" customWidth="1" min="11011" max="11011"/>
    <col width="6.5" customWidth="1" min="11012" max="11012"/>
    <col width="16.83203125" customWidth="1" min="11013" max="11013"/>
    <col width="6.83203125" customWidth="1" min="11014" max="11014"/>
    <col width="14.5" customWidth="1" min="11015" max="11015"/>
    <col width="7.6640625" customWidth="1" min="11016" max="11016"/>
    <col width="14.83203125" customWidth="1" min="11017" max="11017"/>
    <col width="6.6640625" customWidth="1" min="11018" max="11018"/>
    <col width="14.83203125" bestFit="1" customWidth="1" min="11019" max="11019"/>
    <col width="8" customWidth="1" min="11020" max="11020"/>
    <col width="14.83203125" bestFit="1" customWidth="1" min="11021" max="11021"/>
    <col width="7.6640625" customWidth="1" min="11022" max="11022"/>
    <col width="14.5" bestFit="1" customWidth="1" min="11023" max="11023"/>
    <col width="7" customWidth="1" min="11024" max="11024"/>
    <col width="14.33203125" customWidth="1" min="11025" max="11025"/>
    <col width="7" customWidth="1" min="11026" max="11026"/>
    <col width="16.6640625" bestFit="1" customWidth="1" min="11027" max="11027"/>
    <col width="6.5" customWidth="1" min="11028" max="11028"/>
    <col width="15.83203125" customWidth="1" min="11029" max="11029"/>
    <col width="7" customWidth="1" min="11030" max="11030"/>
    <col width="14.33203125" customWidth="1" min="11031" max="11031"/>
    <col width="7.5" customWidth="1" min="11032" max="11032"/>
    <col width="17.1640625" customWidth="1" min="11033" max="11033"/>
    <col width="7.33203125" customWidth="1" min="11034" max="11034"/>
    <col width="16.5" bestFit="1" customWidth="1" min="11035" max="11035"/>
    <col width="3" customWidth="1" min="11265" max="11265"/>
    <col width="46.6640625" customWidth="1" min="11266" max="11266"/>
    <col width="14.83203125" bestFit="1" customWidth="1" min="11267" max="11267"/>
    <col width="6.5" customWidth="1" min="11268" max="11268"/>
    <col width="16.83203125" customWidth="1" min="11269" max="11269"/>
    <col width="6.83203125" customWidth="1" min="11270" max="11270"/>
    <col width="14.5" customWidth="1" min="11271" max="11271"/>
    <col width="7.6640625" customWidth="1" min="11272" max="11272"/>
    <col width="14.83203125" customWidth="1" min="11273" max="11273"/>
    <col width="6.6640625" customWidth="1" min="11274" max="11274"/>
    <col width="14.83203125" bestFit="1" customWidth="1" min="11275" max="11275"/>
    <col width="8" customWidth="1" min="11276" max="11276"/>
    <col width="14.83203125" bestFit="1" customWidth="1" min="11277" max="11277"/>
    <col width="7.6640625" customWidth="1" min="11278" max="11278"/>
    <col width="14.5" bestFit="1" customWidth="1" min="11279" max="11279"/>
    <col width="7" customWidth="1" min="11280" max="11280"/>
    <col width="14.33203125" customWidth="1" min="11281" max="11281"/>
    <col width="7" customWidth="1" min="11282" max="11282"/>
    <col width="16.6640625" bestFit="1" customWidth="1" min="11283" max="11283"/>
    <col width="6.5" customWidth="1" min="11284" max="11284"/>
    <col width="15.83203125" customWidth="1" min="11285" max="11285"/>
    <col width="7" customWidth="1" min="11286" max="11286"/>
    <col width="14.33203125" customWidth="1" min="11287" max="11287"/>
    <col width="7.5" customWidth="1" min="11288" max="11288"/>
    <col width="17.1640625" customWidth="1" min="11289" max="11289"/>
    <col width="7.33203125" customWidth="1" min="11290" max="11290"/>
    <col width="16.5" bestFit="1" customWidth="1" min="11291" max="11291"/>
    <col width="3" customWidth="1" min="11521" max="11521"/>
    <col width="46.6640625" customWidth="1" min="11522" max="11522"/>
    <col width="14.83203125" bestFit="1" customWidth="1" min="11523" max="11523"/>
    <col width="6.5" customWidth="1" min="11524" max="11524"/>
    <col width="16.83203125" customWidth="1" min="11525" max="11525"/>
    <col width="6.83203125" customWidth="1" min="11526" max="11526"/>
    <col width="14.5" customWidth="1" min="11527" max="11527"/>
    <col width="7.6640625" customWidth="1" min="11528" max="11528"/>
    <col width="14.83203125" customWidth="1" min="11529" max="11529"/>
    <col width="6.6640625" customWidth="1" min="11530" max="11530"/>
    <col width="14.83203125" bestFit="1" customWidth="1" min="11531" max="11531"/>
    <col width="8" customWidth="1" min="11532" max="11532"/>
    <col width="14.83203125" bestFit="1" customWidth="1" min="11533" max="11533"/>
    <col width="7.6640625" customWidth="1" min="11534" max="11534"/>
    <col width="14.5" bestFit="1" customWidth="1" min="11535" max="11535"/>
    <col width="7" customWidth="1" min="11536" max="11536"/>
    <col width="14.33203125" customWidth="1" min="11537" max="11537"/>
    <col width="7" customWidth="1" min="11538" max="11538"/>
    <col width="16.6640625" bestFit="1" customWidth="1" min="11539" max="11539"/>
    <col width="6.5" customWidth="1" min="11540" max="11540"/>
    <col width="15.83203125" customWidth="1" min="11541" max="11541"/>
    <col width="7" customWidth="1" min="11542" max="11542"/>
    <col width="14.33203125" customWidth="1" min="11543" max="11543"/>
    <col width="7.5" customWidth="1" min="11544" max="11544"/>
    <col width="17.1640625" customWidth="1" min="11545" max="11545"/>
    <col width="7.33203125" customWidth="1" min="11546" max="11546"/>
    <col width="16.5" bestFit="1" customWidth="1" min="11547" max="11547"/>
    <col width="3" customWidth="1" min="11777" max="11777"/>
    <col width="46.6640625" customWidth="1" min="11778" max="11778"/>
    <col width="14.83203125" bestFit="1" customWidth="1" min="11779" max="11779"/>
    <col width="6.5" customWidth="1" min="11780" max="11780"/>
    <col width="16.83203125" customWidth="1" min="11781" max="11781"/>
    <col width="6.83203125" customWidth="1" min="11782" max="11782"/>
    <col width="14.5" customWidth="1" min="11783" max="11783"/>
    <col width="7.6640625" customWidth="1" min="11784" max="11784"/>
    <col width="14.83203125" customWidth="1" min="11785" max="11785"/>
    <col width="6.6640625" customWidth="1" min="11786" max="11786"/>
    <col width="14.83203125" bestFit="1" customWidth="1" min="11787" max="11787"/>
    <col width="8" customWidth="1" min="11788" max="11788"/>
    <col width="14.83203125" bestFit="1" customWidth="1" min="11789" max="11789"/>
    <col width="7.6640625" customWidth="1" min="11790" max="11790"/>
    <col width="14.5" bestFit="1" customWidth="1" min="11791" max="11791"/>
    <col width="7" customWidth="1" min="11792" max="11792"/>
    <col width="14.33203125" customWidth="1" min="11793" max="11793"/>
    <col width="7" customWidth="1" min="11794" max="11794"/>
    <col width="16.6640625" bestFit="1" customWidth="1" min="11795" max="11795"/>
    <col width="6.5" customWidth="1" min="11796" max="11796"/>
    <col width="15.83203125" customWidth="1" min="11797" max="11797"/>
    <col width="7" customWidth="1" min="11798" max="11798"/>
    <col width="14.33203125" customWidth="1" min="11799" max="11799"/>
    <col width="7.5" customWidth="1" min="11800" max="11800"/>
    <col width="17.1640625" customWidth="1" min="11801" max="11801"/>
    <col width="7.33203125" customWidth="1" min="11802" max="11802"/>
    <col width="16.5" bestFit="1" customWidth="1" min="11803" max="11803"/>
    <col width="3" customWidth="1" min="12033" max="12033"/>
    <col width="46.6640625" customWidth="1" min="12034" max="12034"/>
    <col width="14.83203125" bestFit="1" customWidth="1" min="12035" max="12035"/>
    <col width="6.5" customWidth="1" min="12036" max="12036"/>
    <col width="16.83203125" customWidth="1" min="12037" max="12037"/>
    <col width="6.83203125" customWidth="1" min="12038" max="12038"/>
    <col width="14.5" customWidth="1" min="12039" max="12039"/>
    <col width="7.6640625" customWidth="1" min="12040" max="12040"/>
    <col width="14.83203125" customWidth="1" min="12041" max="12041"/>
    <col width="6.6640625" customWidth="1" min="12042" max="12042"/>
    <col width="14.83203125" bestFit="1" customWidth="1" min="12043" max="12043"/>
    <col width="8" customWidth="1" min="12044" max="12044"/>
    <col width="14.83203125" bestFit="1" customWidth="1" min="12045" max="12045"/>
    <col width="7.6640625" customWidth="1" min="12046" max="12046"/>
    <col width="14.5" bestFit="1" customWidth="1" min="12047" max="12047"/>
    <col width="7" customWidth="1" min="12048" max="12048"/>
    <col width="14.33203125" customWidth="1" min="12049" max="12049"/>
    <col width="7" customWidth="1" min="12050" max="12050"/>
    <col width="16.6640625" bestFit="1" customWidth="1" min="12051" max="12051"/>
    <col width="6.5" customWidth="1" min="12052" max="12052"/>
    <col width="15.83203125" customWidth="1" min="12053" max="12053"/>
    <col width="7" customWidth="1" min="12054" max="12054"/>
    <col width="14.33203125" customWidth="1" min="12055" max="12055"/>
    <col width="7.5" customWidth="1" min="12056" max="12056"/>
    <col width="17.1640625" customWidth="1" min="12057" max="12057"/>
    <col width="7.33203125" customWidth="1" min="12058" max="12058"/>
    <col width="16.5" bestFit="1" customWidth="1" min="12059" max="12059"/>
    <col width="3" customWidth="1" min="12289" max="12289"/>
    <col width="46.6640625" customWidth="1" min="12290" max="12290"/>
    <col width="14.83203125" bestFit="1" customWidth="1" min="12291" max="12291"/>
    <col width="6.5" customWidth="1" min="12292" max="12292"/>
    <col width="16.83203125" customWidth="1" min="12293" max="12293"/>
    <col width="6.83203125" customWidth="1" min="12294" max="12294"/>
    <col width="14.5" customWidth="1" min="12295" max="12295"/>
    <col width="7.6640625" customWidth="1" min="12296" max="12296"/>
    <col width="14.83203125" customWidth="1" min="12297" max="12297"/>
    <col width="6.6640625" customWidth="1" min="12298" max="12298"/>
    <col width="14.83203125" bestFit="1" customWidth="1" min="12299" max="12299"/>
    <col width="8" customWidth="1" min="12300" max="12300"/>
    <col width="14.83203125" bestFit="1" customWidth="1" min="12301" max="12301"/>
    <col width="7.6640625" customWidth="1" min="12302" max="12302"/>
    <col width="14.5" bestFit="1" customWidth="1" min="12303" max="12303"/>
    <col width="7" customWidth="1" min="12304" max="12304"/>
    <col width="14.33203125" customWidth="1" min="12305" max="12305"/>
    <col width="7" customWidth="1" min="12306" max="12306"/>
    <col width="16.6640625" bestFit="1" customWidth="1" min="12307" max="12307"/>
    <col width="6.5" customWidth="1" min="12308" max="12308"/>
    <col width="15.83203125" customWidth="1" min="12309" max="12309"/>
    <col width="7" customWidth="1" min="12310" max="12310"/>
    <col width="14.33203125" customWidth="1" min="12311" max="12311"/>
    <col width="7.5" customWidth="1" min="12312" max="12312"/>
    <col width="17.1640625" customWidth="1" min="12313" max="12313"/>
    <col width="7.33203125" customWidth="1" min="12314" max="12314"/>
    <col width="16.5" bestFit="1" customWidth="1" min="12315" max="12315"/>
    <col width="3" customWidth="1" min="12545" max="12545"/>
    <col width="46.6640625" customWidth="1" min="12546" max="12546"/>
    <col width="14.83203125" bestFit="1" customWidth="1" min="12547" max="12547"/>
    <col width="6.5" customWidth="1" min="12548" max="12548"/>
    <col width="16.83203125" customWidth="1" min="12549" max="12549"/>
    <col width="6.83203125" customWidth="1" min="12550" max="12550"/>
    <col width="14.5" customWidth="1" min="12551" max="12551"/>
    <col width="7.6640625" customWidth="1" min="12552" max="12552"/>
    <col width="14.83203125" customWidth="1" min="12553" max="12553"/>
    <col width="6.6640625" customWidth="1" min="12554" max="12554"/>
    <col width="14.83203125" bestFit="1" customWidth="1" min="12555" max="12555"/>
    <col width="8" customWidth="1" min="12556" max="12556"/>
    <col width="14.83203125" bestFit="1" customWidth="1" min="12557" max="12557"/>
    <col width="7.6640625" customWidth="1" min="12558" max="12558"/>
    <col width="14.5" bestFit="1" customWidth="1" min="12559" max="12559"/>
    <col width="7" customWidth="1" min="12560" max="12560"/>
    <col width="14.33203125" customWidth="1" min="12561" max="12561"/>
    <col width="7" customWidth="1" min="12562" max="12562"/>
    <col width="16.6640625" bestFit="1" customWidth="1" min="12563" max="12563"/>
    <col width="6.5" customWidth="1" min="12564" max="12564"/>
    <col width="15.83203125" customWidth="1" min="12565" max="12565"/>
    <col width="7" customWidth="1" min="12566" max="12566"/>
    <col width="14.33203125" customWidth="1" min="12567" max="12567"/>
    <col width="7.5" customWidth="1" min="12568" max="12568"/>
    <col width="17.1640625" customWidth="1" min="12569" max="12569"/>
    <col width="7.33203125" customWidth="1" min="12570" max="12570"/>
    <col width="16.5" bestFit="1" customWidth="1" min="12571" max="12571"/>
    <col width="3" customWidth="1" min="12801" max="12801"/>
    <col width="46.6640625" customWidth="1" min="12802" max="12802"/>
    <col width="14.83203125" bestFit="1" customWidth="1" min="12803" max="12803"/>
    <col width="6.5" customWidth="1" min="12804" max="12804"/>
    <col width="16.83203125" customWidth="1" min="12805" max="12805"/>
    <col width="6.83203125" customWidth="1" min="12806" max="12806"/>
    <col width="14.5" customWidth="1" min="12807" max="12807"/>
    <col width="7.6640625" customWidth="1" min="12808" max="12808"/>
    <col width="14.83203125" customWidth="1" min="12809" max="12809"/>
    <col width="6.6640625" customWidth="1" min="12810" max="12810"/>
    <col width="14.83203125" bestFit="1" customWidth="1" min="12811" max="12811"/>
    <col width="8" customWidth="1" min="12812" max="12812"/>
    <col width="14.83203125" bestFit="1" customWidth="1" min="12813" max="12813"/>
    <col width="7.6640625" customWidth="1" min="12814" max="12814"/>
    <col width="14.5" bestFit="1" customWidth="1" min="12815" max="12815"/>
    <col width="7" customWidth="1" min="12816" max="12816"/>
    <col width="14.33203125" customWidth="1" min="12817" max="12817"/>
    <col width="7" customWidth="1" min="12818" max="12818"/>
    <col width="16.6640625" bestFit="1" customWidth="1" min="12819" max="12819"/>
    <col width="6.5" customWidth="1" min="12820" max="12820"/>
    <col width="15.83203125" customWidth="1" min="12821" max="12821"/>
    <col width="7" customWidth="1" min="12822" max="12822"/>
    <col width="14.33203125" customWidth="1" min="12823" max="12823"/>
    <col width="7.5" customWidth="1" min="12824" max="12824"/>
    <col width="17.1640625" customWidth="1" min="12825" max="12825"/>
    <col width="7.33203125" customWidth="1" min="12826" max="12826"/>
    <col width="16.5" bestFit="1" customWidth="1" min="12827" max="12827"/>
    <col width="3" customWidth="1" min="13057" max="13057"/>
    <col width="46.6640625" customWidth="1" min="13058" max="13058"/>
    <col width="14.83203125" bestFit="1" customWidth="1" min="13059" max="13059"/>
    <col width="6.5" customWidth="1" min="13060" max="13060"/>
    <col width="16.83203125" customWidth="1" min="13061" max="13061"/>
    <col width="6.83203125" customWidth="1" min="13062" max="13062"/>
    <col width="14.5" customWidth="1" min="13063" max="13063"/>
    <col width="7.6640625" customWidth="1" min="13064" max="13064"/>
    <col width="14.83203125" customWidth="1" min="13065" max="13065"/>
    <col width="6.6640625" customWidth="1" min="13066" max="13066"/>
    <col width="14.83203125" bestFit="1" customWidth="1" min="13067" max="13067"/>
    <col width="8" customWidth="1" min="13068" max="13068"/>
    <col width="14.83203125" bestFit="1" customWidth="1" min="13069" max="13069"/>
    <col width="7.6640625" customWidth="1" min="13070" max="13070"/>
    <col width="14.5" bestFit="1" customWidth="1" min="13071" max="13071"/>
    <col width="7" customWidth="1" min="13072" max="13072"/>
    <col width="14.33203125" customWidth="1" min="13073" max="13073"/>
    <col width="7" customWidth="1" min="13074" max="13074"/>
    <col width="16.6640625" bestFit="1" customWidth="1" min="13075" max="13075"/>
    <col width="6.5" customWidth="1" min="13076" max="13076"/>
    <col width="15.83203125" customWidth="1" min="13077" max="13077"/>
    <col width="7" customWidth="1" min="13078" max="13078"/>
    <col width="14.33203125" customWidth="1" min="13079" max="13079"/>
    <col width="7.5" customWidth="1" min="13080" max="13080"/>
    <col width="17.1640625" customWidth="1" min="13081" max="13081"/>
    <col width="7.33203125" customWidth="1" min="13082" max="13082"/>
    <col width="16.5" bestFit="1" customWidth="1" min="13083" max="13083"/>
    <col width="3" customWidth="1" min="13313" max="13313"/>
    <col width="46.6640625" customWidth="1" min="13314" max="13314"/>
    <col width="14.83203125" bestFit="1" customWidth="1" min="13315" max="13315"/>
    <col width="6.5" customWidth="1" min="13316" max="13316"/>
    <col width="16.83203125" customWidth="1" min="13317" max="13317"/>
    <col width="6.83203125" customWidth="1" min="13318" max="13318"/>
    <col width="14.5" customWidth="1" min="13319" max="13319"/>
    <col width="7.6640625" customWidth="1" min="13320" max="13320"/>
    <col width="14.83203125" customWidth="1" min="13321" max="13321"/>
    <col width="6.6640625" customWidth="1" min="13322" max="13322"/>
    <col width="14.83203125" bestFit="1" customWidth="1" min="13323" max="13323"/>
    <col width="8" customWidth="1" min="13324" max="13324"/>
    <col width="14.83203125" bestFit="1" customWidth="1" min="13325" max="13325"/>
    <col width="7.6640625" customWidth="1" min="13326" max="13326"/>
    <col width="14.5" bestFit="1" customWidth="1" min="13327" max="13327"/>
    <col width="7" customWidth="1" min="13328" max="13328"/>
    <col width="14.33203125" customWidth="1" min="13329" max="13329"/>
    <col width="7" customWidth="1" min="13330" max="13330"/>
    <col width="16.6640625" bestFit="1" customWidth="1" min="13331" max="13331"/>
    <col width="6.5" customWidth="1" min="13332" max="13332"/>
    <col width="15.83203125" customWidth="1" min="13333" max="13333"/>
    <col width="7" customWidth="1" min="13334" max="13334"/>
    <col width="14.33203125" customWidth="1" min="13335" max="13335"/>
    <col width="7.5" customWidth="1" min="13336" max="13336"/>
    <col width="17.1640625" customWidth="1" min="13337" max="13337"/>
    <col width="7.33203125" customWidth="1" min="13338" max="13338"/>
    <col width="16.5" bestFit="1" customWidth="1" min="13339" max="13339"/>
    <col width="3" customWidth="1" min="13569" max="13569"/>
    <col width="46.6640625" customWidth="1" min="13570" max="13570"/>
    <col width="14.83203125" bestFit="1" customWidth="1" min="13571" max="13571"/>
    <col width="6.5" customWidth="1" min="13572" max="13572"/>
    <col width="16.83203125" customWidth="1" min="13573" max="13573"/>
    <col width="6.83203125" customWidth="1" min="13574" max="13574"/>
    <col width="14.5" customWidth="1" min="13575" max="13575"/>
    <col width="7.6640625" customWidth="1" min="13576" max="13576"/>
    <col width="14.83203125" customWidth="1" min="13577" max="13577"/>
    <col width="6.6640625" customWidth="1" min="13578" max="13578"/>
    <col width="14.83203125" bestFit="1" customWidth="1" min="13579" max="13579"/>
    <col width="8" customWidth="1" min="13580" max="13580"/>
    <col width="14.83203125" bestFit="1" customWidth="1" min="13581" max="13581"/>
    <col width="7.6640625" customWidth="1" min="13582" max="13582"/>
    <col width="14.5" bestFit="1" customWidth="1" min="13583" max="13583"/>
    <col width="7" customWidth="1" min="13584" max="13584"/>
    <col width="14.33203125" customWidth="1" min="13585" max="13585"/>
    <col width="7" customWidth="1" min="13586" max="13586"/>
    <col width="16.6640625" bestFit="1" customWidth="1" min="13587" max="13587"/>
    <col width="6.5" customWidth="1" min="13588" max="13588"/>
    <col width="15.83203125" customWidth="1" min="13589" max="13589"/>
    <col width="7" customWidth="1" min="13590" max="13590"/>
    <col width="14.33203125" customWidth="1" min="13591" max="13591"/>
    <col width="7.5" customWidth="1" min="13592" max="13592"/>
    <col width="17.1640625" customWidth="1" min="13593" max="13593"/>
    <col width="7.33203125" customWidth="1" min="13594" max="13594"/>
    <col width="16.5" bestFit="1" customWidth="1" min="13595" max="13595"/>
    <col width="3" customWidth="1" min="13825" max="13825"/>
    <col width="46.6640625" customWidth="1" min="13826" max="13826"/>
    <col width="14.83203125" bestFit="1" customWidth="1" min="13827" max="13827"/>
    <col width="6.5" customWidth="1" min="13828" max="13828"/>
    <col width="16.83203125" customWidth="1" min="13829" max="13829"/>
    <col width="6.83203125" customWidth="1" min="13830" max="13830"/>
    <col width="14.5" customWidth="1" min="13831" max="13831"/>
    <col width="7.6640625" customWidth="1" min="13832" max="13832"/>
    <col width="14.83203125" customWidth="1" min="13833" max="13833"/>
    <col width="6.6640625" customWidth="1" min="13834" max="13834"/>
    <col width="14.83203125" bestFit="1" customWidth="1" min="13835" max="13835"/>
    <col width="8" customWidth="1" min="13836" max="13836"/>
    <col width="14.83203125" bestFit="1" customWidth="1" min="13837" max="13837"/>
    <col width="7.6640625" customWidth="1" min="13838" max="13838"/>
    <col width="14.5" bestFit="1" customWidth="1" min="13839" max="13839"/>
    <col width="7" customWidth="1" min="13840" max="13840"/>
    <col width="14.33203125" customWidth="1" min="13841" max="13841"/>
    <col width="7" customWidth="1" min="13842" max="13842"/>
    <col width="16.6640625" bestFit="1" customWidth="1" min="13843" max="13843"/>
    <col width="6.5" customWidth="1" min="13844" max="13844"/>
    <col width="15.83203125" customWidth="1" min="13845" max="13845"/>
    <col width="7" customWidth="1" min="13846" max="13846"/>
    <col width="14.33203125" customWidth="1" min="13847" max="13847"/>
    <col width="7.5" customWidth="1" min="13848" max="13848"/>
    <col width="17.1640625" customWidth="1" min="13849" max="13849"/>
    <col width="7.33203125" customWidth="1" min="13850" max="13850"/>
    <col width="16.5" bestFit="1" customWidth="1" min="13851" max="13851"/>
    <col width="3" customWidth="1" min="14081" max="14081"/>
    <col width="46.6640625" customWidth="1" min="14082" max="14082"/>
    <col width="14.83203125" bestFit="1" customWidth="1" min="14083" max="14083"/>
    <col width="6.5" customWidth="1" min="14084" max="14084"/>
    <col width="16.83203125" customWidth="1" min="14085" max="14085"/>
    <col width="6.83203125" customWidth="1" min="14086" max="14086"/>
    <col width="14.5" customWidth="1" min="14087" max="14087"/>
    <col width="7.6640625" customWidth="1" min="14088" max="14088"/>
    <col width="14.83203125" customWidth="1" min="14089" max="14089"/>
    <col width="6.6640625" customWidth="1" min="14090" max="14090"/>
    <col width="14.83203125" bestFit="1" customWidth="1" min="14091" max="14091"/>
    <col width="8" customWidth="1" min="14092" max="14092"/>
    <col width="14.83203125" bestFit="1" customWidth="1" min="14093" max="14093"/>
    <col width="7.6640625" customWidth="1" min="14094" max="14094"/>
    <col width="14.5" bestFit="1" customWidth="1" min="14095" max="14095"/>
    <col width="7" customWidth="1" min="14096" max="14096"/>
    <col width="14.33203125" customWidth="1" min="14097" max="14097"/>
    <col width="7" customWidth="1" min="14098" max="14098"/>
    <col width="16.6640625" bestFit="1" customWidth="1" min="14099" max="14099"/>
    <col width="6.5" customWidth="1" min="14100" max="14100"/>
    <col width="15.83203125" customWidth="1" min="14101" max="14101"/>
    <col width="7" customWidth="1" min="14102" max="14102"/>
    <col width="14.33203125" customWidth="1" min="14103" max="14103"/>
    <col width="7.5" customWidth="1" min="14104" max="14104"/>
    <col width="17.1640625" customWidth="1" min="14105" max="14105"/>
    <col width="7.33203125" customWidth="1" min="14106" max="14106"/>
    <col width="16.5" bestFit="1" customWidth="1" min="14107" max="14107"/>
    <col width="3" customWidth="1" min="14337" max="14337"/>
    <col width="46.6640625" customWidth="1" min="14338" max="14338"/>
    <col width="14.83203125" bestFit="1" customWidth="1" min="14339" max="14339"/>
    <col width="6.5" customWidth="1" min="14340" max="14340"/>
    <col width="16.83203125" customWidth="1" min="14341" max="14341"/>
    <col width="6.83203125" customWidth="1" min="14342" max="14342"/>
    <col width="14.5" customWidth="1" min="14343" max="14343"/>
    <col width="7.6640625" customWidth="1" min="14344" max="14344"/>
    <col width="14.83203125" customWidth="1" min="14345" max="14345"/>
    <col width="6.6640625" customWidth="1" min="14346" max="14346"/>
    <col width="14.83203125" bestFit="1" customWidth="1" min="14347" max="14347"/>
    <col width="8" customWidth="1" min="14348" max="14348"/>
    <col width="14.83203125" bestFit="1" customWidth="1" min="14349" max="14349"/>
    <col width="7.6640625" customWidth="1" min="14350" max="14350"/>
    <col width="14.5" bestFit="1" customWidth="1" min="14351" max="14351"/>
    <col width="7" customWidth="1" min="14352" max="14352"/>
    <col width="14.33203125" customWidth="1" min="14353" max="14353"/>
    <col width="7" customWidth="1" min="14354" max="14354"/>
    <col width="16.6640625" bestFit="1" customWidth="1" min="14355" max="14355"/>
    <col width="6.5" customWidth="1" min="14356" max="14356"/>
    <col width="15.83203125" customWidth="1" min="14357" max="14357"/>
    <col width="7" customWidth="1" min="14358" max="14358"/>
    <col width="14.33203125" customWidth="1" min="14359" max="14359"/>
    <col width="7.5" customWidth="1" min="14360" max="14360"/>
    <col width="17.1640625" customWidth="1" min="14361" max="14361"/>
    <col width="7.33203125" customWidth="1" min="14362" max="14362"/>
    <col width="16.5" bestFit="1" customWidth="1" min="14363" max="14363"/>
    <col width="3" customWidth="1" min="14593" max="14593"/>
    <col width="46.6640625" customWidth="1" min="14594" max="14594"/>
    <col width="14.83203125" bestFit="1" customWidth="1" min="14595" max="14595"/>
    <col width="6.5" customWidth="1" min="14596" max="14596"/>
    <col width="16.83203125" customWidth="1" min="14597" max="14597"/>
    <col width="6.83203125" customWidth="1" min="14598" max="14598"/>
    <col width="14.5" customWidth="1" min="14599" max="14599"/>
    <col width="7.6640625" customWidth="1" min="14600" max="14600"/>
    <col width="14.83203125" customWidth="1" min="14601" max="14601"/>
    <col width="6.6640625" customWidth="1" min="14602" max="14602"/>
    <col width="14.83203125" bestFit="1" customWidth="1" min="14603" max="14603"/>
    <col width="8" customWidth="1" min="14604" max="14604"/>
    <col width="14.83203125" bestFit="1" customWidth="1" min="14605" max="14605"/>
    <col width="7.6640625" customWidth="1" min="14606" max="14606"/>
    <col width="14.5" bestFit="1" customWidth="1" min="14607" max="14607"/>
    <col width="7" customWidth="1" min="14608" max="14608"/>
    <col width="14.33203125" customWidth="1" min="14609" max="14609"/>
    <col width="7" customWidth="1" min="14610" max="14610"/>
    <col width="16.6640625" bestFit="1" customWidth="1" min="14611" max="14611"/>
    <col width="6.5" customWidth="1" min="14612" max="14612"/>
    <col width="15.83203125" customWidth="1" min="14613" max="14613"/>
    <col width="7" customWidth="1" min="14614" max="14614"/>
    <col width="14.33203125" customWidth="1" min="14615" max="14615"/>
    <col width="7.5" customWidth="1" min="14616" max="14616"/>
    <col width="17.1640625" customWidth="1" min="14617" max="14617"/>
    <col width="7.33203125" customWidth="1" min="14618" max="14618"/>
    <col width="16.5" bestFit="1" customWidth="1" min="14619" max="14619"/>
    <col width="3" customWidth="1" min="14849" max="14849"/>
    <col width="46.6640625" customWidth="1" min="14850" max="14850"/>
    <col width="14.83203125" bestFit="1" customWidth="1" min="14851" max="14851"/>
    <col width="6.5" customWidth="1" min="14852" max="14852"/>
    <col width="16.83203125" customWidth="1" min="14853" max="14853"/>
    <col width="6.83203125" customWidth="1" min="14854" max="14854"/>
    <col width="14.5" customWidth="1" min="14855" max="14855"/>
    <col width="7.6640625" customWidth="1" min="14856" max="14856"/>
    <col width="14.83203125" customWidth="1" min="14857" max="14857"/>
    <col width="6.6640625" customWidth="1" min="14858" max="14858"/>
    <col width="14.83203125" bestFit="1" customWidth="1" min="14859" max="14859"/>
    <col width="8" customWidth="1" min="14860" max="14860"/>
    <col width="14.83203125" bestFit="1" customWidth="1" min="14861" max="14861"/>
    <col width="7.6640625" customWidth="1" min="14862" max="14862"/>
    <col width="14.5" bestFit="1" customWidth="1" min="14863" max="14863"/>
    <col width="7" customWidth="1" min="14864" max="14864"/>
    <col width="14.33203125" customWidth="1" min="14865" max="14865"/>
    <col width="7" customWidth="1" min="14866" max="14866"/>
    <col width="16.6640625" bestFit="1" customWidth="1" min="14867" max="14867"/>
    <col width="6.5" customWidth="1" min="14868" max="14868"/>
    <col width="15.83203125" customWidth="1" min="14869" max="14869"/>
    <col width="7" customWidth="1" min="14870" max="14870"/>
    <col width="14.33203125" customWidth="1" min="14871" max="14871"/>
    <col width="7.5" customWidth="1" min="14872" max="14872"/>
    <col width="17.1640625" customWidth="1" min="14873" max="14873"/>
    <col width="7.33203125" customWidth="1" min="14874" max="14874"/>
    <col width="16.5" bestFit="1" customWidth="1" min="14875" max="14875"/>
    <col width="3" customWidth="1" min="15105" max="15105"/>
    <col width="46.6640625" customWidth="1" min="15106" max="15106"/>
    <col width="14.83203125" bestFit="1" customWidth="1" min="15107" max="15107"/>
    <col width="6.5" customWidth="1" min="15108" max="15108"/>
    <col width="16.83203125" customWidth="1" min="15109" max="15109"/>
    <col width="6.83203125" customWidth="1" min="15110" max="15110"/>
    <col width="14.5" customWidth="1" min="15111" max="15111"/>
    <col width="7.6640625" customWidth="1" min="15112" max="15112"/>
    <col width="14.83203125" customWidth="1" min="15113" max="15113"/>
    <col width="6.6640625" customWidth="1" min="15114" max="15114"/>
    <col width="14.83203125" bestFit="1" customWidth="1" min="15115" max="15115"/>
    <col width="8" customWidth="1" min="15116" max="15116"/>
    <col width="14.83203125" bestFit="1" customWidth="1" min="15117" max="15117"/>
    <col width="7.6640625" customWidth="1" min="15118" max="15118"/>
    <col width="14.5" bestFit="1" customWidth="1" min="15119" max="15119"/>
    <col width="7" customWidth="1" min="15120" max="15120"/>
    <col width="14.33203125" customWidth="1" min="15121" max="15121"/>
    <col width="7" customWidth="1" min="15122" max="15122"/>
    <col width="16.6640625" bestFit="1" customWidth="1" min="15123" max="15123"/>
    <col width="6.5" customWidth="1" min="15124" max="15124"/>
    <col width="15.83203125" customWidth="1" min="15125" max="15125"/>
    <col width="7" customWidth="1" min="15126" max="15126"/>
    <col width="14.33203125" customWidth="1" min="15127" max="15127"/>
    <col width="7.5" customWidth="1" min="15128" max="15128"/>
    <col width="17.1640625" customWidth="1" min="15129" max="15129"/>
    <col width="7.33203125" customWidth="1" min="15130" max="15130"/>
    <col width="16.5" bestFit="1" customWidth="1" min="15131" max="15131"/>
    <col width="3" customWidth="1" min="15361" max="15361"/>
    <col width="46.6640625" customWidth="1" min="15362" max="15362"/>
    <col width="14.83203125" bestFit="1" customWidth="1" min="15363" max="15363"/>
    <col width="6.5" customWidth="1" min="15364" max="15364"/>
    <col width="16.83203125" customWidth="1" min="15365" max="15365"/>
    <col width="6.83203125" customWidth="1" min="15366" max="15366"/>
    <col width="14.5" customWidth="1" min="15367" max="15367"/>
    <col width="7.6640625" customWidth="1" min="15368" max="15368"/>
    <col width="14.83203125" customWidth="1" min="15369" max="15369"/>
    <col width="6.6640625" customWidth="1" min="15370" max="15370"/>
    <col width="14.83203125" bestFit="1" customWidth="1" min="15371" max="15371"/>
    <col width="8" customWidth="1" min="15372" max="15372"/>
    <col width="14.83203125" bestFit="1" customWidth="1" min="15373" max="15373"/>
    <col width="7.6640625" customWidth="1" min="15374" max="15374"/>
    <col width="14.5" bestFit="1" customWidth="1" min="15375" max="15375"/>
    <col width="7" customWidth="1" min="15376" max="15376"/>
    <col width="14.33203125" customWidth="1" min="15377" max="15377"/>
    <col width="7" customWidth="1" min="15378" max="15378"/>
    <col width="16.6640625" bestFit="1" customWidth="1" min="15379" max="15379"/>
    <col width="6.5" customWidth="1" min="15380" max="15380"/>
    <col width="15.83203125" customWidth="1" min="15381" max="15381"/>
    <col width="7" customWidth="1" min="15382" max="15382"/>
    <col width="14.33203125" customWidth="1" min="15383" max="15383"/>
    <col width="7.5" customWidth="1" min="15384" max="15384"/>
    <col width="17.1640625" customWidth="1" min="15385" max="15385"/>
    <col width="7.33203125" customWidth="1" min="15386" max="15386"/>
    <col width="16.5" bestFit="1" customWidth="1" min="15387" max="15387"/>
    <col width="3" customWidth="1" min="15617" max="15617"/>
    <col width="46.6640625" customWidth="1" min="15618" max="15618"/>
    <col width="14.83203125" bestFit="1" customWidth="1" min="15619" max="15619"/>
    <col width="6.5" customWidth="1" min="15620" max="15620"/>
    <col width="16.83203125" customWidth="1" min="15621" max="15621"/>
    <col width="6.83203125" customWidth="1" min="15622" max="15622"/>
    <col width="14.5" customWidth="1" min="15623" max="15623"/>
    <col width="7.6640625" customWidth="1" min="15624" max="15624"/>
    <col width="14.83203125" customWidth="1" min="15625" max="15625"/>
    <col width="6.6640625" customWidth="1" min="15626" max="15626"/>
    <col width="14.83203125" bestFit="1" customWidth="1" min="15627" max="15627"/>
    <col width="8" customWidth="1" min="15628" max="15628"/>
    <col width="14.83203125" bestFit="1" customWidth="1" min="15629" max="15629"/>
    <col width="7.6640625" customWidth="1" min="15630" max="15630"/>
    <col width="14.5" bestFit="1" customWidth="1" min="15631" max="15631"/>
    <col width="7" customWidth="1" min="15632" max="15632"/>
    <col width="14.33203125" customWidth="1" min="15633" max="15633"/>
    <col width="7" customWidth="1" min="15634" max="15634"/>
    <col width="16.6640625" bestFit="1" customWidth="1" min="15635" max="15635"/>
    <col width="6.5" customWidth="1" min="15636" max="15636"/>
    <col width="15.83203125" customWidth="1" min="15637" max="15637"/>
    <col width="7" customWidth="1" min="15638" max="15638"/>
    <col width="14.33203125" customWidth="1" min="15639" max="15639"/>
    <col width="7.5" customWidth="1" min="15640" max="15640"/>
    <col width="17.1640625" customWidth="1" min="15641" max="15641"/>
    <col width="7.33203125" customWidth="1" min="15642" max="15642"/>
    <col width="16.5" bestFit="1" customWidth="1" min="15643" max="15643"/>
    <col width="3" customWidth="1" min="15873" max="15873"/>
    <col width="46.6640625" customWidth="1" min="15874" max="15874"/>
    <col width="14.83203125" bestFit="1" customWidth="1" min="15875" max="15875"/>
    <col width="6.5" customWidth="1" min="15876" max="15876"/>
    <col width="16.83203125" customWidth="1" min="15877" max="15877"/>
    <col width="6.83203125" customWidth="1" min="15878" max="15878"/>
    <col width="14.5" customWidth="1" min="15879" max="15879"/>
    <col width="7.6640625" customWidth="1" min="15880" max="15880"/>
    <col width="14.83203125" customWidth="1" min="15881" max="15881"/>
    <col width="6.6640625" customWidth="1" min="15882" max="15882"/>
    <col width="14.83203125" bestFit="1" customWidth="1" min="15883" max="15883"/>
    <col width="8" customWidth="1" min="15884" max="15884"/>
    <col width="14.83203125" bestFit="1" customWidth="1" min="15885" max="15885"/>
    <col width="7.6640625" customWidth="1" min="15886" max="15886"/>
    <col width="14.5" bestFit="1" customWidth="1" min="15887" max="15887"/>
    <col width="7" customWidth="1" min="15888" max="15888"/>
    <col width="14.33203125" customWidth="1" min="15889" max="15889"/>
    <col width="7" customWidth="1" min="15890" max="15890"/>
    <col width="16.6640625" bestFit="1" customWidth="1" min="15891" max="15891"/>
    <col width="6.5" customWidth="1" min="15892" max="15892"/>
    <col width="15.83203125" customWidth="1" min="15893" max="15893"/>
    <col width="7" customWidth="1" min="15894" max="15894"/>
    <col width="14.33203125" customWidth="1" min="15895" max="15895"/>
    <col width="7.5" customWidth="1" min="15896" max="15896"/>
    <col width="17.1640625" customWidth="1" min="15897" max="15897"/>
    <col width="7.33203125" customWidth="1" min="15898" max="15898"/>
    <col width="16.5" bestFit="1" customWidth="1" min="15899" max="15899"/>
    <col width="3" customWidth="1" min="16129" max="16129"/>
    <col width="46.6640625" customWidth="1" min="16130" max="16130"/>
    <col width="14.83203125" bestFit="1" customWidth="1" min="16131" max="16131"/>
    <col width="6.5" customWidth="1" min="16132" max="16132"/>
    <col width="16.83203125" customWidth="1" min="16133" max="16133"/>
    <col width="6.83203125" customWidth="1" min="16134" max="16134"/>
    <col width="14.5" customWidth="1" min="16135" max="16135"/>
    <col width="7.6640625" customWidth="1" min="16136" max="16136"/>
    <col width="14.83203125" customWidth="1" min="16137" max="16137"/>
    <col width="6.6640625" customWidth="1" min="16138" max="16138"/>
    <col width="14.83203125" bestFit="1" customWidth="1" min="16139" max="16139"/>
    <col width="8" customWidth="1" min="16140" max="16140"/>
    <col width="14.83203125" bestFit="1" customWidth="1" min="16141" max="16141"/>
    <col width="7.6640625" customWidth="1" min="16142" max="16142"/>
    <col width="14.5" bestFit="1" customWidth="1" min="16143" max="16143"/>
    <col width="7" customWidth="1" min="16144" max="16144"/>
    <col width="14.33203125" customWidth="1" min="16145" max="16145"/>
    <col width="7" customWidth="1" min="16146" max="16146"/>
    <col width="16.6640625" bestFit="1" customWidth="1" min="16147" max="16147"/>
    <col width="6.5" customWidth="1" min="16148" max="16148"/>
    <col width="15.83203125" customWidth="1" min="16149" max="16149"/>
    <col width="7" customWidth="1" min="16150" max="16150"/>
    <col width="14.33203125" customWidth="1" min="16151" max="16151"/>
    <col width="7.5" customWidth="1" min="16152" max="16152"/>
    <col width="17.1640625" customWidth="1" min="16153" max="16153"/>
    <col width="7.33203125" customWidth="1" min="16154" max="16154"/>
    <col width="16.5" bestFit="1" customWidth="1" min="16155" max="16155"/>
  </cols>
  <sheetData>
    <row r="1" ht="6.75" customHeight="1"/>
    <row r="2" ht="19" customHeight="1">
      <c r="B2" s="224" t="n"/>
    </row>
    <row r="3">
      <c r="B3" s="227" t="inlineStr">
        <is>
          <t>CONFRONTOS 2023 - APURAÇÕES VS DECLARAÇÕES_IRPJ E CSLL</t>
        </is>
      </c>
    </row>
    <row r="4">
      <c r="B4" s="228">
        <f>'Acomp. Resultados_2026'!B5:AA5</f>
        <v/>
      </c>
    </row>
    <row r="5">
      <c r="B5" s="228">
        <f>'Acomp. Resultados_2026'!B6:AA6</f>
        <v/>
      </c>
    </row>
    <row r="6">
      <c r="B6" s="227" t="n"/>
    </row>
    <row r="7" ht="16" customHeight="1" thickBot="1"/>
    <row r="8" ht="16" customHeight="1" thickBot="1">
      <c r="B8" s="23" t="inlineStr">
        <is>
          <t>IRPJ e CSLL</t>
        </is>
      </c>
      <c r="C8" s="319" t="inlineStr">
        <is>
          <t>JAN_2026</t>
        </is>
      </c>
      <c r="D8" s="320" t="n"/>
      <c r="E8" s="319" t="inlineStr">
        <is>
          <t>FEV_2026</t>
        </is>
      </c>
      <c r="F8" s="320" t="n"/>
      <c r="G8" s="319" t="inlineStr">
        <is>
          <t>MAR_2026</t>
        </is>
      </c>
      <c r="H8" s="320" t="n"/>
      <c r="I8" s="319" t="inlineStr">
        <is>
          <t>ABR_2026</t>
        </is>
      </c>
      <c r="J8" s="320" t="n"/>
      <c r="K8" s="319" t="inlineStr">
        <is>
          <t>MAI_2026</t>
        </is>
      </c>
      <c r="L8" s="320" t="n"/>
      <c r="M8" s="319" t="inlineStr">
        <is>
          <t>JUN_2026</t>
        </is>
      </c>
      <c r="N8" s="320" t="n"/>
      <c r="O8" s="319" t="inlineStr">
        <is>
          <t>JUL_2026</t>
        </is>
      </c>
      <c r="P8" s="320" t="n"/>
      <c r="Q8" s="319" t="inlineStr">
        <is>
          <t>AGO_2026</t>
        </is>
      </c>
      <c r="R8" s="320" t="n"/>
      <c r="S8" s="319" t="inlineStr">
        <is>
          <t>SET_2026</t>
        </is>
      </c>
      <c r="T8" s="320" t="n"/>
      <c r="U8" s="319" t="inlineStr">
        <is>
          <t>OUT_2026</t>
        </is>
      </c>
      <c r="V8" s="320" t="n"/>
      <c r="W8" s="319" t="inlineStr">
        <is>
          <t>NOV_2026</t>
        </is>
      </c>
      <c r="X8" s="320" t="n"/>
      <c r="Y8" s="319" t="inlineStr">
        <is>
          <t>DEZ_2026</t>
        </is>
      </c>
      <c r="Z8" s="320" t="n"/>
      <c r="AA8" s="225" t="inlineStr">
        <is>
          <t>TOTAL 2026</t>
        </is>
      </c>
    </row>
    <row r="9" ht="6" customHeight="1" thickBot="1">
      <c r="B9" s="25" t="n"/>
      <c r="G9" s="254" t="n"/>
      <c r="H9" s="254" t="n"/>
      <c r="M9" s="254" t="n"/>
      <c r="N9" s="254" t="n"/>
      <c r="S9" s="254" t="n"/>
      <c r="T9" s="254" t="n"/>
      <c r="Y9" s="254" t="n"/>
      <c r="Z9" s="254" t="n"/>
      <c r="AA9" s="254" t="n"/>
    </row>
    <row r="10" ht="16" customHeight="1" thickTop="1">
      <c r="B10" s="321" t="inlineStr">
        <is>
          <t>DEMONSTRAÇÃO CONTÁBIL</t>
        </is>
      </c>
      <c r="C10" s="322" t="n"/>
      <c r="D10" s="323" t="n"/>
      <c r="E10" s="322" t="n"/>
      <c r="F10" s="323" t="n"/>
      <c r="G10" s="322" t="n"/>
      <c r="H10" s="323" t="n"/>
      <c r="I10" s="322" t="n"/>
      <c r="J10" s="324" t="n"/>
      <c r="K10" s="322" t="n"/>
      <c r="L10" s="324" t="n"/>
      <c r="M10" s="322" t="n"/>
      <c r="N10" s="324" t="n"/>
      <c r="O10" s="322" t="n"/>
      <c r="P10" s="324" t="n"/>
      <c r="Q10" s="322" t="n"/>
      <c r="R10" s="324" t="n"/>
      <c r="S10" s="322" t="n"/>
      <c r="T10" s="324" t="n"/>
      <c r="U10" s="322" t="n"/>
      <c r="V10" s="324" t="n"/>
      <c r="W10" s="322" t="n"/>
      <c r="X10" s="324" t="n"/>
      <c r="Y10" s="322" t="n"/>
      <c r="Z10" s="323" t="n"/>
      <c r="AA10" s="325" t="n"/>
    </row>
    <row r="11">
      <c r="B11" s="33" t="inlineStr">
        <is>
          <t>IRPJ</t>
        </is>
      </c>
      <c r="C11" s="326">
        <f>'Acomp. Resultados_2026'!C95</f>
        <v/>
      </c>
      <c r="D11" s="327" t="n"/>
      <c r="E11" s="326" t="n"/>
      <c r="F11" s="327" t="n"/>
      <c r="G11" s="326" t="n"/>
      <c r="H11" s="327" t="n"/>
      <c r="I11" s="326" t="n"/>
      <c r="J11" s="328" t="n"/>
      <c r="K11" s="326" t="n"/>
      <c r="L11" s="328" t="n"/>
      <c r="M11" s="326" t="n"/>
      <c r="N11" s="328" t="n"/>
      <c r="O11" s="326" t="n"/>
      <c r="P11" s="328" t="n"/>
      <c r="Q11" s="326" t="n"/>
      <c r="R11" s="328" t="n"/>
      <c r="S11" s="326" t="n"/>
      <c r="T11" s="328" t="n"/>
      <c r="U11" s="326" t="n"/>
      <c r="V11" s="328" t="n"/>
      <c r="W11" s="326" t="n"/>
      <c r="X11" s="328" t="n"/>
      <c r="Y11" s="326" t="n"/>
      <c r="Z11" s="327" t="n"/>
      <c r="AA11" s="329">
        <f>C11+E11+G11+I11+K11+M11+O11+Q11+S11+U11+W11+Y11</f>
        <v/>
      </c>
    </row>
    <row r="12">
      <c r="B12" s="33" t="inlineStr">
        <is>
          <t>CSLL</t>
        </is>
      </c>
      <c r="C12" s="326">
        <f>'Acomp. Resultados_2026'!C101</f>
        <v/>
      </c>
      <c r="D12" s="327" t="n"/>
      <c r="E12" s="326" t="n"/>
      <c r="F12" s="327" t="n"/>
      <c r="G12" s="326" t="n"/>
      <c r="H12" s="327" t="n"/>
      <c r="I12" s="326" t="n"/>
      <c r="J12" s="328" t="n"/>
      <c r="K12" s="326" t="n"/>
      <c r="L12" s="328" t="n"/>
      <c r="M12" s="326" t="n"/>
      <c r="N12" s="328" t="n"/>
      <c r="O12" s="326" t="n"/>
      <c r="P12" s="328" t="n"/>
      <c r="Q12" s="326" t="n"/>
      <c r="R12" s="328" t="n"/>
      <c r="S12" s="326" t="n"/>
      <c r="T12" s="328" t="n"/>
      <c r="U12" s="326" t="n"/>
      <c r="V12" s="328" t="n"/>
      <c r="W12" s="326" t="n"/>
      <c r="X12" s="328" t="n"/>
      <c r="Y12" s="326" t="n"/>
      <c r="Z12" s="327" t="n"/>
      <c r="AA12" s="329">
        <f>C12+E12+G12+I12+K12+M12+O12+Q12+S12+U12+W12+Y12</f>
        <v/>
      </c>
    </row>
    <row r="13">
      <c r="B13" s="26" t="n"/>
      <c r="C13" s="330" t="n"/>
      <c r="D13" s="331" t="n"/>
      <c r="E13" s="330" t="n"/>
      <c r="F13" s="331" t="n"/>
      <c r="G13" s="330" t="n"/>
      <c r="H13" s="331" t="n"/>
      <c r="I13" s="330" t="n"/>
      <c r="J13" s="332" t="n"/>
      <c r="K13" s="330" t="n"/>
      <c r="L13" s="332" t="n"/>
      <c r="M13" s="330" t="n"/>
      <c r="N13" s="332" t="n"/>
      <c r="O13" s="330" t="n"/>
      <c r="P13" s="332" t="n"/>
      <c r="Q13" s="330" t="n"/>
      <c r="R13" s="332" t="n"/>
      <c r="S13" s="330" t="n"/>
      <c r="T13" s="332" t="n"/>
      <c r="U13" s="330" t="n"/>
      <c r="V13" s="332" t="n"/>
      <c r="W13" s="330" t="n"/>
      <c r="X13" s="332" t="n"/>
      <c r="Y13" s="330" t="n"/>
      <c r="Z13" s="331" t="n"/>
      <c r="AA13" s="333" t="n"/>
    </row>
    <row r="14">
      <c r="B14" s="334" t="inlineStr">
        <is>
          <t>MEMÓRIA DE CÁLCULO</t>
        </is>
      </c>
      <c r="C14" s="335" t="n"/>
      <c r="D14" s="327" t="n"/>
      <c r="E14" s="335" t="n"/>
      <c r="F14" s="327" t="n"/>
      <c r="G14" s="335" t="n"/>
      <c r="H14" s="327" t="n"/>
      <c r="I14" s="335" t="n"/>
      <c r="J14" s="328" t="n"/>
      <c r="K14" s="335" t="n"/>
      <c r="L14" s="328" t="n"/>
      <c r="M14" s="335" t="n"/>
      <c r="N14" s="328" t="n"/>
      <c r="O14" s="335" t="n"/>
      <c r="P14" s="328" t="n"/>
      <c r="Q14" s="335" t="n"/>
      <c r="R14" s="328" t="n"/>
      <c r="S14" s="335" t="n"/>
      <c r="T14" s="328" t="n"/>
      <c r="U14" s="335" t="n"/>
      <c r="V14" s="328" t="n"/>
      <c r="W14" s="335" t="n"/>
      <c r="X14" s="328" t="n"/>
      <c r="Y14" s="335" t="n"/>
      <c r="Z14" s="327" t="n"/>
      <c r="AA14" s="329">
        <f>SUM(C14:Y14)</f>
        <v/>
      </c>
    </row>
    <row r="15">
      <c r="B15" s="35" t="inlineStr">
        <is>
          <t>IRPJ</t>
        </is>
      </c>
      <c r="C15" s="326">
        <f>'Acomp. Resultados_2026'!C95</f>
        <v/>
      </c>
      <c r="D15" s="336" t="n"/>
      <c r="E15" s="326" t="n"/>
      <c r="F15" s="336" t="n"/>
      <c r="G15" s="326" t="n"/>
      <c r="H15" s="336" t="n"/>
      <c r="I15" s="326" t="n"/>
      <c r="J15" s="337" t="n"/>
      <c r="K15" s="326" t="n"/>
      <c r="L15" s="337" t="n"/>
      <c r="M15" s="326" t="n"/>
      <c r="N15" s="337" t="n"/>
      <c r="O15" s="326" t="n"/>
      <c r="P15" s="337" t="n"/>
      <c r="Q15" s="326" t="n"/>
      <c r="R15" s="337" t="n"/>
      <c r="S15" s="326" t="n"/>
      <c r="T15" s="337" t="n"/>
      <c r="U15" s="326" t="n"/>
      <c r="V15" s="337" t="n"/>
      <c r="W15" s="326" t="n"/>
      <c r="X15" s="337" t="n"/>
      <c r="Y15" s="326" t="n"/>
      <c r="Z15" s="336" t="n"/>
      <c r="AA15" s="329">
        <f>C15+E15+G15+I15+K15+M15+O15+Q15+S15+U15+W15+Y15</f>
        <v/>
      </c>
    </row>
    <row r="16">
      <c r="B16" s="35" t="inlineStr">
        <is>
          <t>CSLL</t>
        </is>
      </c>
      <c r="C16" s="326">
        <f>'Acomp. Resultados_2026'!C101</f>
        <v/>
      </c>
      <c r="D16" s="336" t="n"/>
      <c r="E16" s="326" t="n"/>
      <c r="F16" s="336" t="n"/>
      <c r="G16" s="326" t="n"/>
      <c r="H16" s="336" t="n"/>
      <c r="I16" s="326" t="n"/>
      <c r="J16" s="337" t="n"/>
      <c r="K16" s="326" t="n"/>
      <c r="L16" s="337" t="n"/>
      <c r="M16" s="326" t="n"/>
      <c r="N16" s="337" t="n"/>
      <c r="O16" s="326" t="n"/>
      <c r="P16" s="337" t="n"/>
      <c r="Q16" s="326" t="n"/>
      <c r="R16" s="337" t="n"/>
      <c r="S16" s="326" t="n"/>
      <c r="T16" s="337" t="n"/>
      <c r="U16" s="326" t="n"/>
      <c r="V16" s="337" t="n"/>
      <c r="W16" s="326" t="n"/>
      <c r="X16" s="337" t="n"/>
      <c r="Y16" s="326" t="n"/>
      <c r="Z16" s="336" t="n"/>
      <c r="AA16" s="329">
        <f>C16+E16+G16+I16+K16+M16+O16+Q16+S16+U16+W16+Y16</f>
        <v/>
      </c>
    </row>
    <row r="17">
      <c r="B17" s="26" t="n"/>
      <c r="C17" s="330" t="n"/>
      <c r="D17" s="331" t="n"/>
      <c r="E17" s="330" t="n"/>
      <c r="F17" s="331" t="n"/>
      <c r="G17" s="330" t="n"/>
      <c r="H17" s="331" t="n"/>
      <c r="I17" s="330" t="n"/>
      <c r="J17" s="332" t="n"/>
      <c r="K17" s="330" t="n"/>
      <c r="L17" s="332" t="n"/>
      <c r="M17" s="330" t="n"/>
      <c r="N17" s="332" t="n"/>
      <c r="O17" s="330" t="n"/>
      <c r="P17" s="332" t="n"/>
      <c r="Q17" s="338" t="n"/>
      <c r="R17" s="332" t="n"/>
      <c r="S17" s="330" t="n"/>
      <c r="T17" s="332" t="n"/>
      <c r="U17" s="330" t="n"/>
      <c r="V17" s="332" t="n"/>
      <c r="W17" s="330" t="n"/>
      <c r="X17" s="332" t="n"/>
      <c r="Y17" s="330" t="n"/>
      <c r="Z17" s="331" t="n"/>
      <c r="AA17" s="333" t="n"/>
    </row>
    <row r="18">
      <c r="B18" s="26" t="n"/>
      <c r="C18" s="330" t="n"/>
      <c r="D18" s="331" t="n"/>
      <c r="E18" s="330" t="n"/>
      <c r="F18" s="331" t="n"/>
      <c r="G18" s="330" t="n"/>
      <c r="H18" s="331" t="n"/>
      <c r="I18" s="330" t="n"/>
      <c r="J18" s="332" t="n"/>
      <c r="K18" s="330" t="n"/>
      <c r="L18" s="332" t="n"/>
      <c r="M18" s="330" t="n"/>
      <c r="N18" s="332" t="n"/>
      <c r="O18" s="330" t="n"/>
      <c r="P18" s="332" t="n"/>
      <c r="Q18" s="330" t="n"/>
      <c r="R18" s="332" t="n"/>
      <c r="S18" s="330" t="n"/>
      <c r="T18" s="332" t="n"/>
      <c r="U18" s="330" t="n"/>
      <c r="V18" s="332" t="n"/>
      <c r="W18" s="330" t="n"/>
      <c r="X18" s="332" t="n"/>
      <c r="Y18" s="330" t="n"/>
      <c r="Z18" s="331" t="n"/>
      <c r="AA18" s="333" t="n"/>
    </row>
    <row r="19">
      <c r="B19" s="334" t="inlineStr">
        <is>
          <t>VALORES DECLARADOS MIT</t>
        </is>
      </c>
      <c r="C19" s="339" t="n"/>
      <c r="D19" s="340" t="n"/>
      <c r="E19" s="339" t="n"/>
      <c r="F19" s="340" t="n"/>
      <c r="G19" s="339" t="n"/>
      <c r="H19" s="340" t="n"/>
      <c r="I19" s="339" t="n"/>
      <c r="J19" s="341" t="n"/>
      <c r="K19" s="339" t="n"/>
      <c r="L19" s="341" t="n"/>
      <c r="M19" s="339" t="n"/>
      <c r="N19" s="341" t="n"/>
      <c r="O19" s="339" t="n"/>
      <c r="P19" s="341" t="n"/>
      <c r="Q19" s="339" t="n"/>
      <c r="R19" s="341" t="n"/>
      <c r="S19" s="339" t="n"/>
      <c r="T19" s="341" t="n"/>
      <c r="U19" s="339" t="n"/>
      <c r="V19" s="341" t="n"/>
      <c r="W19" s="339" t="n"/>
      <c r="X19" s="341" t="n"/>
      <c r="Y19" s="339" t="n"/>
      <c r="Z19" s="340" t="n"/>
      <c r="AA19" s="342" t="n"/>
    </row>
    <row r="20">
      <c r="B20" s="35" t="inlineStr">
        <is>
          <t>IRPJ</t>
        </is>
      </c>
      <c r="C20" s="343" t="n">
        <v>0</v>
      </c>
      <c r="D20" s="336" t="n"/>
      <c r="E20" s="343" t="n"/>
      <c r="F20" s="336" t="n"/>
      <c r="G20" s="343" t="n"/>
      <c r="H20" s="336" t="n"/>
      <c r="I20" s="343" t="n"/>
      <c r="J20" s="337" t="n"/>
      <c r="K20" s="343" t="n"/>
      <c r="L20" s="337" t="n"/>
      <c r="M20" s="343" t="n"/>
      <c r="N20" s="337" t="n"/>
      <c r="O20" s="343" t="n"/>
      <c r="P20" s="337" t="n"/>
      <c r="Q20" s="343" t="n"/>
      <c r="R20" s="337" t="n"/>
      <c r="S20" s="343" t="n"/>
      <c r="T20" s="337" t="n"/>
      <c r="U20" s="343" t="n"/>
      <c r="V20" s="337" t="n"/>
      <c r="W20" s="343" t="n"/>
      <c r="X20" s="337" t="n"/>
      <c r="Y20" s="344" t="n"/>
      <c r="Z20" s="336" t="n"/>
      <c r="AA20" s="329">
        <f>C20+E20+G20+I20+K20+M20+O20+Q20+S20+U20+W20+Y20</f>
        <v/>
      </c>
    </row>
    <row r="21">
      <c r="B21" s="35" t="inlineStr">
        <is>
          <t>CSLL</t>
        </is>
      </c>
      <c r="C21" s="343" t="n">
        <v>0</v>
      </c>
      <c r="D21" s="336" t="n"/>
      <c r="E21" s="343" t="n"/>
      <c r="F21" s="336" t="n"/>
      <c r="G21" s="343" t="n"/>
      <c r="H21" s="336" t="n"/>
      <c r="I21" s="343" t="n"/>
      <c r="J21" s="337" t="n"/>
      <c r="K21" s="343" t="n"/>
      <c r="L21" s="337" t="n"/>
      <c r="M21" s="343" t="n"/>
      <c r="N21" s="337" t="n"/>
      <c r="O21" s="343" t="n"/>
      <c r="P21" s="337" t="n"/>
      <c r="Q21" s="343" t="n"/>
      <c r="R21" s="337" t="n"/>
      <c r="S21" s="343" t="n"/>
      <c r="T21" s="337" t="n"/>
      <c r="U21" s="343" t="n"/>
      <c r="V21" s="337" t="n"/>
      <c r="W21" s="343" t="n"/>
      <c r="X21" s="337" t="n"/>
      <c r="Y21" s="345" t="n"/>
      <c r="Z21" s="336" t="n"/>
      <c r="AA21" s="329">
        <f>C21+E21+G21+I21+K21+M21+O21+Q21+S21+U21+W21+Y21</f>
        <v/>
      </c>
    </row>
    <row r="22">
      <c r="B22" s="27" t="n"/>
      <c r="C22" s="343" t="n"/>
      <c r="D22" s="336" t="n"/>
      <c r="E22" s="343" t="n"/>
      <c r="F22" s="336" t="n"/>
      <c r="G22" s="343" t="n"/>
      <c r="H22" s="336" t="n"/>
      <c r="I22" s="343" t="n"/>
      <c r="J22" s="337" t="n"/>
      <c r="K22" s="343" t="n"/>
      <c r="L22" s="337" t="n"/>
      <c r="M22" s="346" t="n"/>
      <c r="N22" s="337" t="n"/>
      <c r="O22" s="346" t="n"/>
      <c r="P22" s="337" t="n"/>
      <c r="Q22" s="346" t="n"/>
      <c r="R22" s="337" t="n"/>
      <c r="S22" s="346" t="n"/>
      <c r="T22" s="337" t="n"/>
      <c r="U22" s="346" t="n"/>
      <c r="V22" s="337" t="n"/>
      <c r="W22" s="346" t="n"/>
      <c r="X22" s="337" t="n"/>
      <c r="Y22" s="343" t="n"/>
      <c r="Z22" s="336" t="n"/>
      <c r="AA22" s="347" t="n"/>
    </row>
    <row r="23">
      <c r="B23" s="334" t="inlineStr">
        <is>
          <t>VALORES RECOLHIDOS/COMPENSADO</t>
        </is>
      </c>
      <c r="C23" s="339" t="n"/>
      <c r="D23" s="340" t="n"/>
      <c r="E23" s="339" t="n"/>
      <c r="F23" s="340" t="n"/>
      <c r="G23" s="339" t="n"/>
      <c r="H23" s="340" t="n"/>
      <c r="I23" s="339" t="n"/>
      <c r="J23" s="341" t="n"/>
      <c r="K23" s="339" t="n"/>
      <c r="L23" s="341" t="n"/>
      <c r="M23" s="339" t="n"/>
      <c r="N23" s="341" t="n"/>
      <c r="O23" s="339" t="n"/>
      <c r="P23" s="341" t="n"/>
      <c r="Q23" s="339" t="n"/>
      <c r="R23" s="341" t="n"/>
      <c r="S23" s="339" t="n"/>
      <c r="T23" s="341" t="n"/>
      <c r="U23" s="339" t="n"/>
      <c r="V23" s="341" t="n"/>
      <c r="W23" s="339" t="n"/>
      <c r="X23" s="341" t="n"/>
      <c r="Y23" s="339" t="n"/>
      <c r="Z23" s="340" t="n"/>
      <c r="AA23" s="342" t="n"/>
    </row>
    <row r="24">
      <c r="B24" s="35" t="inlineStr">
        <is>
          <t>IRPJ</t>
        </is>
      </c>
      <c r="C24" s="343" t="n">
        <v>0</v>
      </c>
      <c r="D24" s="336" t="n"/>
      <c r="E24" s="343" t="n"/>
      <c r="F24" s="336" t="n"/>
      <c r="G24" s="343" t="n"/>
      <c r="H24" s="336" t="n"/>
      <c r="I24" s="343" t="n"/>
      <c r="J24" s="337" t="n"/>
      <c r="K24" s="343" t="n"/>
      <c r="L24" s="337" t="n"/>
      <c r="M24" s="343" t="n"/>
      <c r="N24" s="337" t="n"/>
      <c r="O24" s="343" t="n"/>
      <c r="P24" s="337" t="n"/>
      <c r="Q24" s="343" t="n"/>
      <c r="R24" s="337" t="n"/>
      <c r="S24" s="343" t="n"/>
      <c r="T24" s="337" t="n"/>
      <c r="U24" s="343" t="n"/>
      <c r="V24" s="337" t="n"/>
      <c r="W24" s="343" t="n"/>
      <c r="X24" s="337" t="n"/>
      <c r="Y24" s="343" t="n"/>
      <c r="Z24" s="336" t="n"/>
      <c r="AA24" s="329">
        <f>C24+E24+G24+I24+K24+M24+O24+Q24+S24+U24+W24+Y24</f>
        <v/>
      </c>
    </row>
    <row r="25" ht="16" customHeight="1" thickBot="1">
      <c r="B25" s="36" t="inlineStr">
        <is>
          <t>CSLL</t>
        </is>
      </c>
      <c r="C25" s="348" t="n">
        <v>0</v>
      </c>
      <c r="D25" s="349" t="n"/>
      <c r="E25" s="348" t="n"/>
      <c r="F25" s="350" t="n"/>
      <c r="G25" s="348" t="n"/>
      <c r="H25" s="350" t="n"/>
      <c r="I25" s="348" t="n"/>
      <c r="J25" s="349" t="n"/>
      <c r="K25" s="348" t="n"/>
      <c r="L25" s="349" t="n"/>
      <c r="M25" s="348" t="n"/>
      <c r="N25" s="349" t="n"/>
      <c r="O25" s="348" t="n"/>
      <c r="P25" s="349" t="n"/>
      <c r="Q25" s="348" t="n"/>
      <c r="R25" s="349" t="n"/>
      <c r="S25" s="348" t="n"/>
      <c r="T25" s="349" t="n"/>
      <c r="U25" s="348" t="n"/>
      <c r="V25" s="349" t="n"/>
      <c r="W25" s="348" t="n"/>
      <c r="X25" s="349" t="n"/>
      <c r="Y25" s="348" t="n"/>
      <c r="Z25" s="350" t="n"/>
      <c r="AA25" s="351">
        <f>C25+E25+G25+I25+K25+M25+O25+Q25+S25+U25+W25+Y25</f>
        <v/>
      </c>
    </row>
    <row r="26" ht="17" customHeight="1" thickBot="1" thickTop="1">
      <c r="B26" s="41" t="n"/>
      <c r="C26" s="352" t="n"/>
      <c r="D26" s="352" t="n"/>
      <c r="E26" s="352" t="n"/>
      <c r="F26" s="352" t="n"/>
      <c r="G26" s="352" t="n"/>
      <c r="H26" s="352" t="n"/>
      <c r="I26" s="352" t="n"/>
      <c r="J26" s="352" t="n"/>
      <c r="K26" s="352" t="n"/>
      <c r="L26" s="352" t="n"/>
      <c r="M26" s="352" t="n"/>
      <c r="N26" s="352" t="n"/>
      <c r="O26" s="352" t="n"/>
      <c r="P26" s="352" t="n"/>
      <c r="Q26" s="352" t="n"/>
      <c r="R26" s="352" t="n"/>
      <c r="S26" s="352" t="n"/>
      <c r="T26" s="352" t="n"/>
      <c r="U26" s="352" t="n"/>
      <c r="V26" s="352" t="n"/>
      <c r="W26" s="352" t="n"/>
      <c r="X26" s="352" t="n"/>
      <c r="Y26" s="352" t="n"/>
      <c r="Z26" s="352" t="n"/>
      <c r="AA26" s="353" t="n"/>
    </row>
    <row r="27" ht="16" customHeight="1" thickBot="1">
      <c r="B27" s="44" t="inlineStr">
        <is>
          <t>CONFRONTOS</t>
        </is>
      </c>
      <c r="C27" s="319" t="inlineStr">
        <is>
          <t>JAN_2026</t>
        </is>
      </c>
      <c r="D27" s="320" t="n"/>
      <c r="E27" s="319" t="inlineStr">
        <is>
          <t>FEV_2026</t>
        </is>
      </c>
      <c r="F27" s="320" t="n"/>
      <c r="G27" s="319" t="inlineStr">
        <is>
          <t>MAR_2026</t>
        </is>
      </c>
      <c r="H27" s="320" t="n"/>
      <c r="I27" s="319" t="inlineStr">
        <is>
          <t>ABR_2026</t>
        </is>
      </c>
      <c r="J27" s="320" t="n"/>
      <c r="K27" s="319" t="inlineStr">
        <is>
          <t>MAI_2026</t>
        </is>
      </c>
      <c r="L27" s="320" t="n"/>
      <c r="M27" s="319" t="inlineStr">
        <is>
          <t>JUN_2026</t>
        </is>
      </c>
      <c r="N27" s="320" t="n"/>
      <c r="O27" s="319" t="inlineStr">
        <is>
          <t>JUL_2026</t>
        </is>
      </c>
      <c r="P27" s="320" t="n"/>
      <c r="Q27" s="319" t="inlineStr">
        <is>
          <t>AGO_2026</t>
        </is>
      </c>
      <c r="R27" s="320" t="n"/>
      <c r="S27" s="319" t="inlineStr">
        <is>
          <t>SET_2026</t>
        </is>
      </c>
      <c r="T27" s="320" t="n"/>
      <c r="U27" s="319" t="inlineStr">
        <is>
          <t>OUT_2026</t>
        </is>
      </c>
      <c r="V27" s="320" t="n"/>
      <c r="W27" s="319" t="inlineStr">
        <is>
          <t>NOV_2026</t>
        </is>
      </c>
      <c r="X27" s="320" t="n"/>
      <c r="Y27" s="319" t="inlineStr">
        <is>
          <t>DEZ_2026</t>
        </is>
      </c>
      <c r="Z27" s="320" t="n"/>
      <c r="AA27" s="225" t="inlineStr">
        <is>
          <t>TOTAL 2026</t>
        </is>
      </c>
    </row>
    <row r="28">
      <c r="B28" s="45" t="inlineStr">
        <is>
          <t>CONTÁBIL VS APURADO - IRPJ</t>
        </is>
      </c>
      <c r="C28" s="354">
        <f>C11-C15</f>
        <v/>
      </c>
      <c r="D28" s="355" t="n"/>
      <c r="E28" s="354">
        <f>E11-E15</f>
        <v/>
      </c>
      <c r="F28" s="355" t="n"/>
      <c r="G28" s="354">
        <f>G11-G15</f>
        <v/>
      </c>
      <c r="H28" s="355" t="n"/>
      <c r="I28" s="354">
        <f>I11-I15</f>
        <v/>
      </c>
      <c r="J28" s="355" t="n"/>
      <c r="K28" s="354">
        <f>K11-K15</f>
        <v/>
      </c>
      <c r="L28" s="355" t="n"/>
      <c r="M28" s="354">
        <f>M11-M15</f>
        <v/>
      </c>
      <c r="N28" s="355" t="n"/>
      <c r="O28" s="354">
        <f>O11-O15</f>
        <v/>
      </c>
      <c r="P28" s="355" t="n"/>
      <c r="Q28" s="354">
        <f>Q11-Q15</f>
        <v/>
      </c>
      <c r="R28" s="355" t="n"/>
      <c r="S28" s="354">
        <f>S11-S15</f>
        <v/>
      </c>
      <c r="T28" s="355" t="n"/>
      <c r="U28" s="354">
        <f>U11-U15</f>
        <v/>
      </c>
      <c r="V28" s="355" t="n"/>
      <c r="W28" s="354">
        <f>W11-W15</f>
        <v/>
      </c>
      <c r="X28" s="355" t="n"/>
      <c r="Y28" s="354">
        <f>Y11-Y15</f>
        <v/>
      </c>
      <c r="Z28" s="355" t="n"/>
      <c r="AA28" s="356">
        <f>SUM(C28:Z28)</f>
        <v/>
      </c>
    </row>
    <row r="29">
      <c r="B29" s="46" t="inlineStr">
        <is>
          <t>CONTÁBIL VS APURADO - CSLL</t>
        </is>
      </c>
      <c r="C29" s="357">
        <f>C12-C16</f>
        <v/>
      </c>
      <c r="D29" s="337" t="n"/>
      <c r="E29" s="357">
        <f>E12-E16</f>
        <v/>
      </c>
      <c r="F29" s="337" t="n"/>
      <c r="G29" s="357">
        <f>G12-G16</f>
        <v/>
      </c>
      <c r="H29" s="337" t="n"/>
      <c r="I29" s="357">
        <f>I12-I16</f>
        <v/>
      </c>
      <c r="J29" s="337" t="n"/>
      <c r="K29" s="357">
        <f>K12-K16</f>
        <v/>
      </c>
      <c r="L29" s="337" t="n"/>
      <c r="M29" s="357">
        <f>M12-M16</f>
        <v/>
      </c>
      <c r="N29" s="337" t="n"/>
      <c r="O29" s="357">
        <f>O12-O16</f>
        <v/>
      </c>
      <c r="P29" s="337" t="n"/>
      <c r="Q29" s="357">
        <f>Q12-Q16</f>
        <v/>
      </c>
      <c r="R29" s="337" t="n"/>
      <c r="S29" s="357">
        <f>S12-S16</f>
        <v/>
      </c>
      <c r="T29" s="337" t="n"/>
      <c r="U29" s="357">
        <f>U12-U16</f>
        <v/>
      </c>
      <c r="V29" s="337" t="n"/>
      <c r="W29" s="357">
        <f>W12-W16</f>
        <v/>
      </c>
      <c r="X29" s="337" t="n"/>
      <c r="Y29" s="357">
        <f>Y12-Y16</f>
        <v/>
      </c>
      <c r="Z29" s="337" t="n"/>
      <c r="AA29" s="358">
        <f>SUM(B29:Z29)</f>
        <v/>
      </c>
    </row>
    <row r="30">
      <c r="B30" s="46" t="inlineStr">
        <is>
          <t>APURADO VS DECLARADO - IRPJ</t>
        </is>
      </c>
      <c r="C30" s="359">
        <f>C15-C20</f>
        <v/>
      </c>
      <c r="D30" s="337" t="n"/>
      <c r="E30" s="357">
        <f>E15-E20</f>
        <v/>
      </c>
      <c r="F30" s="337" t="n"/>
      <c r="G30" s="357">
        <f>G15-G20</f>
        <v/>
      </c>
      <c r="H30" s="337" t="n"/>
      <c r="I30" s="357">
        <f>I15-I20</f>
        <v/>
      </c>
      <c r="J30" s="337" t="n"/>
      <c r="K30" s="357">
        <f>K15-K20</f>
        <v/>
      </c>
      <c r="L30" s="337" t="n"/>
      <c r="M30" s="357">
        <f>M15-M20</f>
        <v/>
      </c>
      <c r="N30" s="337" t="n"/>
      <c r="O30" s="357">
        <f>O15-O20</f>
        <v/>
      </c>
      <c r="P30" s="337" t="n"/>
      <c r="Q30" s="357">
        <f>Q15-Q20</f>
        <v/>
      </c>
      <c r="R30" s="337" t="n"/>
      <c r="S30" s="357">
        <f>S15-S20</f>
        <v/>
      </c>
      <c r="T30" s="337" t="n"/>
      <c r="U30" s="357">
        <f>U15-U20</f>
        <v/>
      </c>
      <c r="V30" s="337" t="n"/>
      <c r="W30" s="357">
        <f>W15-W20</f>
        <v/>
      </c>
      <c r="X30" s="337" t="n"/>
      <c r="Y30" s="357">
        <f>Y15-Y20</f>
        <v/>
      </c>
      <c r="Z30" s="337" t="n"/>
      <c r="AA30" s="358">
        <f>SUM(B30:Z30)</f>
        <v/>
      </c>
    </row>
    <row r="31">
      <c r="B31" s="46" t="inlineStr">
        <is>
          <t>APURADO VS DECLARADO - CSLL</t>
        </is>
      </c>
      <c r="C31" s="360">
        <f>C16-C21</f>
        <v/>
      </c>
      <c r="D31" s="337" t="n"/>
      <c r="E31" s="357">
        <f>E16-E21</f>
        <v/>
      </c>
      <c r="F31" s="337" t="n"/>
      <c r="G31" s="357">
        <f>G16-G21</f>
        <v/>
      </c>
      <c r="H31" s="337" t="n"/>
      <c r="I31" s="357">
        <f>I16-I21</f>
        <v/>
      </c>
      <c r="J31" s="337" t="n"/>
      <c r="K31" s="357">
        <f>K16-K21</f>
        <v/>
      </c>
      <c r="L31" s="337" t="n"/>
      <c r="M31" s="357">
        <f>M16-M21</f>
        <v/>
      </c>
      <c r="N31" s="337" t="n"/>
      <c r="O31" s="357">
        <f>O16-O21</f>
        <v/>
      </c>
      <c r="P31" s="337" t="n"/>
      <c r="Q31" s="357">
        <f>Q16-Q21</f>
        <v/>
      </c>
      <c r="R31" s="337" t="n"/>
      <c r="S31" s="357">
        <f>S16-S21</f>
        <v/>
      </c>
      <c r="T31" s="337" t="n"/>
      <c r="U31" s="357">
        <f>U16-U21</f>
        <v/>
      </c>
      <c r="V31" s="337" t="n"/>
      <c r="W31" s="357">
        <f>W16-W21</f>
        <v/>
      </c>
      <c r="X31" s="337" t="n"/>
      <c r="Y31" s="357">
        <f>Y16-Y21</f>
        <v/>
      </c>
      <c r="Z31" s="337" t="n"/>
      <c r="AA31" s="358">
        <f>SUM(B31:Z31)</f>
        <v/>
      </c>
    </row>
    <row r="32">
      <c r="B32" s="46" t="inlineStr">
        <is>
          <t>DECLARADO VS PAGO/COMPENSADO - IRPJ</t>
        </is>
      </c>
      <c r="C32" s="357">
        <f>C20-C24</f>
        <v/>
      </c>
      <c r="D32" s="337" t="n"/>
      <c r="E32" s="357">
        <f>E20-E24</f>
        <v/>
      </c>
      <c r="F32" s="337" t="n"/>
      <c r="G32" s="357">
        <f>G20-G24</f>
        <v/>
      </c>
      <c r="H32" s="337" t="n"/>
      <c r="I32" s="357">
        <f>I20-I24</f>
        <v/>
      </c>
      <c r="J32" s="337" t="n"/>
      <c r="K32" s="357">
        <f>K20-K24</f>
        <v/>
      </c>
      <c r="L32" s="337" t="n"/>
      <c r="M32" s="357">
        <f>M20-M24</f>
        <v/>
      </c>
      <c r="N32" s="337" t="n"/>
      <c r="O32" s="357">
        <f>O20-O24</f>
        <v/>
      </c>
      <c r="P32" s="337" t="n"/>
      <c r="Q32" s="357">
        <f>Q20-Q24</f>
        <v/>
      </c>
      <c r="R32" s="337" t="n"/>
      <c r="S32" s="357">
        <f>S20-S24</f>
        <v/>
      </c>
      <c r="T32" s="337" t="n"/>
      <c r="U32" s="357">
        <f>U20-U24</f>
        <v/>
      </c>
      <c r="V32" s="337" t="n"/>
      <c r="W32" s="357">
        <f>W20-W24</f>
        <v/>
      </c>
      <c r="X32" s="337" t="n"/>
      <c r="Y32" s="357">
        <f>Y20-Y24</f>
        <v/>
      </c>
      <c r="Z32" s="337" t="n"/>
      <c r="AA32" s="358">
        <f>SUM(B32:Z32)</f>
        <v/>
      </c>
    </row>
    <row r="33" ht="16" customHeight="1" thickBot="1">
      <c r="B33" s="47" t="inlineStr">
        <is>
          <t>DECLARADO VS PAGO/COMPENSADO - CSLL</t>
        </is>
      </c>
      <c r="C33" s="361">
        <f>C21-C25</f>
        <v/>
      </c>
      <c r="D33" s="362" t="n"/>
      <c r="E33" s="361">
        <f>E21-E25</f>
        <v/>
      </c>
      <c r="F33" s="362" t="n"/>
      <c r="G33" s="361">
        <f>G21-G25</f>
        <v/>
      </c>
      <c r="H33" s="362" t="n"/>
      <c r="I33" s="361">
        <f>I21-I25</f>
        <v/>
      </c>
      <c r="J33" s="362" t="n"/>
      <c r="K33" s="361">
        <f>K21-K25</f>
        <v/>
      </c>
      <c r="L33" s="362" t="n"/>
      <c r="M33" s="361">
        <f>M21-M25</f>
        <v/>
      </c>
      <c r="N33" s="362" t="n"/>
      <c r="O33" s="361">
        <f>O21-O25</f>
        <v/>
      </c>
      <c r="P33" s="362" t="n"/>
      <c r="Q33" s="361">
        <f>Q21-Q25</f>
        <v/>
      </c>
      <c r="R33" s="362" t="n"/>
      <c r="S33" s="361">
        <f>S21-S25</f>
        <v/>
      </c>
      <c r="T33" s="362" t="n"/>
      <c r="U33" s="361">
        <f>U21-U25</f>
        <v/>
      </c>
      <c r="V33" s="362" t="n"/>
      <c r="W33" s="361">
        <f>W21-W25</f>
        <v/>
      </c>
      <c r="X33" s="362" t="n"/>
      <c r="Y33" s="361">
        <f>Y21-Y25</f>
        <v/>
      </c>
      <c r="Z33" s="362" t="n"/>
      <c r="AA33" s="363">
        <f>SUM(C33:Z33)</f>
        <v/>
      </c>
    </row>
    <row r="34" ht="16" customHeight="1" thickBot="1">
      <c r="B34" s="41" t="n"/>
      <c r="C34" s="352" t="n"/>
      <c r="D34" s="352" t="n"/>
      <c r="E34" s="352" t="n"/>
      <c r="F34" s="352" t="n"/>
      <c r="G34" s="352" t="n"/>
      <c r="H34" s="352" t="n"/>
      <c r="I34" s="352" t="n"/>
      <c r="J34" s="352" t="n"/>
      <c r="K34" s="352" t="n"/>
      <c r="L34" s="352" t="n"/>
      <c r="M34" s="352" t="n"/>
      <c r="N34" s="352" t="n"/>
      <c r="O34" s="352" t="n"/>
      <c r="P34" s="352" t="n"/>
      <c r="Q34" s="352" t="n"/>
      <c r="R34" s="352" t="n"/>
      <c r="S34" s="352" t="n"/>
      <c r="T34" s="352" t="n"/>
      <c r="U34" s="352" t="n"/>
      <c r="V34" s="352" t="n"/>
      <c r="W34" s="352" t="n"/>
      <c r="X34" s="352" t="n"/>
      <c r="Y34" s="352" t="n"/>
      <c r="Z34" s="352" t="n"/>
      <c r="AA34" s="353" t="n"/>
    </row>
    <row r="35" ht="15" customHeight="1">
      <c r="B35" s="364" t="inlineStr">
        <is>
          <t>Observações:</t>
        </is>
      </c>
      <c r="C35" s="365" t="n"/>
      <c r="D35" s="365" t="n"/>
      <c r="E35" s="365" t="n"/>
      <c r="F35" s="365" t="n"/>
      <c r="G35" s="365" t="n"/>
      <c r="H35" s="365" t="n"/>
      <c r="I35" s="365" t="n"/>
      <c r="J35" s="365" t="n"/>
      <c r="K35" s="365" t="n"/>
      <c r="L35" s="365" t="n"/>
      <c r="M35" s="365" t="n"/>
      <c r="N35" s="365" t="n"/>
      <c r="O35" s="365" t="n"/>
      <c r="P35" s="365" t="n"/>
      <c r="Q35" s="365" t="n"/>
      <c r="R35" s="365" t="n"/>
      <c r="S35" s="365" t="n"/>
      <c r="T35" s="365" t="n"/>
      <c r="U35" s="365" t="n"/>
      <c r="V35" s="365" t="n"/>
      <c r="W35" s="365" t="n"/>
      <c r="X35" s="365" t="n"/>
      <c r="Y35" s="365" t="n"/>
      <c r="Z35" s="365" t="n"/>
      <c r="AA35" s="366" t="n"/>
    </row>
    <row r="36">
      <c r="B36" s="367" t="n"/>
      <c r="AA36" s="368" t="n"/>
    </row>
    <row r="37" ht="15" customHeight="1">
      <c r="B37" s="369" t="n"/>
      <c r="AA37" s="368" t="n"/>
    </row>
    <row r="38" ht="16" customHeight="1" thickBot="1">
      <c r="B38" s="370" t="n"/>
      <c r="C38" s="371" t="n"/>
      <c r="D38" s="371" t="n"/>
      <c r="E38" s="371" t="n"/>
      <c r="F38" s="371" t="n"/>
      <c r="G38" s="371" t="n"/>
      <c r="H38" s="371" t="n"/>
      <c r="I38" s="371" t="n"/>
      <c r="J38" s="371" t="n"/>
      <c r="K38" s="371" t="n"/>
      <c r="L38" s="371" t="n"/>
      <c r="M38" s="371" t="n"/>
      <c r="N38" s="371" t="n"/>
      <c r="O38" s="371" t="n"/>
      <c r="P38" s="371" t="n"/>
      <c r="Q38" s="371" t="n"/>
      <c r="R38" s="371" t="n"/>
      <c r="S38" s="371" t="n"/>
      <c r="T38" s="371" t="n"/>
      <c r="U38" s="371" t="n"/>
      <c r="V38" s="371" t="n"/>
      <c r="W38" s="371" t="n"/>
      <c r="X38" s="371" t="n"/>
      <c r="Y38" s="371" t="n"/>
      <c r="Z38" s="371" t="n"/>
      <c r="AA38" s="372" t="n"/>
    </row>
    <row r="39">
      <c r="B39" s="28" t="n"/>
      <c r="C39" s="28" t="n"/>
      <c r="D39" s="28" t="n"/>
      <c r="E39" s="28" t="n"/>
      <c r="F39" s="28" t="n"/>
      <c r="G39" s="254" t="n"/>
      <c r="H39" s="373" t="n"/>
      <c r="I39" s="28" t="n"/>
      <c r="J39" s="28" t="n"/>
      <c r="K39" s="28" t="n"/>
      <c r="L39" s="28" t="n"/>
      <c r="M39" s="254" t="n"/>
      <c r="N39" s="254" t="n"/>
      <c r="O39" s="28" t="n"/>
      <c r="P39" s="28" t="n"/>
      <c r="Q39" s="30" t="n"/>
      <c r="R39" s="28" t="n"/>
      <c r="S39" s="254" t="n"/>
      <c r="T39" s="254" t="n"/>
      <c r="U39" s="31" t="n"/>
      <c r="V39" s="31" t="n"/>
      <c r="W39" s="28" t="n"/>
      <c r="X39" s="28" t="n"/>
      <c r="Y39" s="254" t="n"/>
      <c r="Z39" s="254" t="n"/>
    </row>
  </sheetData>
  <mergeCells count="34">
    <mergeCell ref="B36:AA36"/>
    <mergeCell ref="B35:AA35"/>
    <mergeCell ref="B4:AA4"/>
    <mergeCell ref="G27:H27"/>
    <mergeCell ref="I27:J27"/>
    <mergeCell ref="G8:H8"/>
    <mergeCell ref="S27:T27"/>
    <mergeCell ref="Y20:Y21"/>
    <mergeCell ref="B3:AA3"/>
    <mergeCell ref="U27:V27"/>
    <mergeCell ref="E8:F8"/>
    <mergeCell ref="Q8:R8"/>
    <mergeCell ref="S8:T8"/>
    <mergeCell ref="B2:AA2"/>
    <mergeCell ref="K8:L8"/>
    <mergeCell ref="C27:D27"/>
    <mergeCell ref="E27:F27"/>
    <mergeCell ref="K27:L27"/>
    <mergeCell ref="M27:N27"/>
    <mergeCell ref="B38:AA38"/>
    <mergeCell ref="O27:P27"/>
    <mergeCell ref="I8:J8"/>
    <mergeCell ref="Q27:R27"/>
    <mergeCell ref="W27:X27"/>
    <mergeCell ref="M8:N8"/>
    <mergeCell ref="Y27:Z27"/>
    <mergeCell ref="B37:AA37"/>
    <mergeCell ref="C8:D8"/>
    <mergeCell ref="O8:P8"/>
    <mergeCell ref="U8:V8"/>
    <mergeCell ref="W8:X8"/>
    <mergeCell ref="B6:AA6"/>
    <mergeCell ref="Y8:Z8"/>
    <mergeCell ref="B5:AA5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Pedro Henrique de Araújo</dc:creator>
  <dcterms:created xsi:type="dcterms:W3CDTF">2019-10-28T20:02:24Z</dcterms:created>
  <dcterms:modified xsi:type="dcterms:W3CDTF">2026-04-29T18:45:47Z</dcterms:modified>
  <cp:lastModifiedBy>Matheus Petrakis</cp:lastModifiedBy>
  <cp:lastPrinted>2022-06-06T18:08:45Z</cp:lastPrinted>
</cp:coreProperties>
</file>